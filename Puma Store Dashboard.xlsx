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SURAJ SHELAR\Downloads\"/>
    </mc:Choice>
  </mc:AlternateContent>
  <xr:revisionPtr revIDLastSave="0" documentId="13_ncr:1_{C2A76AA5-7645-4BD5-8C2F-8F9BFC4A227C}" xr6:coauthVersionLast="47" xr6:coauthVersionMax="47" xr10:uidLastSave="{00000000-0000-0000-0000-000000000000}"/>
  <bookViews>
    <workbookView xWindow="-110" yWindow="-110" windowWidth="19420" windowHeight="10420" activeTab="6" xr2:uid="{00000000-000D-0000-FFFF-FFFF00000000}"/>
  </bookViews>
  <sheets>
    <sheet name="Data" sheetId="2" r:id="rId1"/>
    <sheet name="Sheet2" sheetId="3" r:id="rId2"/>
    <sheet name="Sheet3" sheetId="8" r:id="rId3"/>
    <sheet name="Sheet4" sheetId="9" r:id="rId4"/>
    <sheet name="Sheet5" sheetId="10" r:id="rId5"/>
    <sheet name="Sheet6" sheetId="11" r:id="rId6"/>
    <sheet name="Dashboard" sheetId="12" r:id="rId7"/>
  </sheets>
  <definedNames>
    <definedName name="Slicer_Category">#N/A</definedName>
    <definedName name="Slicer_Product_Name">#N/A</definedName>
    <definedName name="Slicer_Size">#N/A</definedName>
  </definedNames>
  <calcPr calcId="12451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<sst xmlns="http://schemas.openxmlformats.org/spreadsheetml/2006/main" count="430" uniqueCount="144">
  <si>
    <t>Item_ID</t>
  </si>
  <si>
    <t>Product_Name</t>
  </si>
  <si>
    <t>Category</t>
  </si>
  <si>
    <t>Size</t>
  </si>
  <si>
    <t>Stock_Quantity</t>
  </si>
  <si>
    <t>Unit_Price</t>
  </si>
  <si>
    <t>Total_Value</t>
  </si>
  <si>
    <t>Last_Stocked_Date</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</si>
  <si>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</si>
  <si>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</si>
  <si>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</si>
  <si>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</si>
  <si>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</si>
  <si>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</si>
  <si>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</si>
  <si>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</si>
  <si>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</si>
  <si>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</si>
  <si>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</si>
  <si>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</si>
  <si>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</si>
  <si>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</si>
  <si>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</si>
  <si>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</si>
  <si>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</si>
  <si>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</si>
  <si>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</si>
  <si>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</si>
  <si>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</si>
  <si>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</si>
  <si>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</si>
  <si>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</si>
  <si>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</si>
  <si>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</si>
  <si>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</si>
  <si>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</si>
  <si>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</si>
  <si>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</si>
  <si>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</si>
  <si>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</si>
  <si>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</si>
  <si>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</si>
  <si>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</si>
  <si>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</si>
  <si>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</si>
  <si>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</si>
  <si>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</si>
  <si>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</si>
  <si>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P041</t>
  </si>
  <si>
    <t>P042</t>
  </si>
  <si>
    <t>P043</t>
  </si>
  <si>
    <t>P044</t>
  </si>
  <si>
    <t>P045</t>
  </si>
  <si>
    <t>P046</t>
  </si>
  <si>
    <t>P047</t>
  </si>
  <si>
    <t>P048</t>
  </si>
  <si>
    <t>P049</t>
  </si>
  <si>
    <t>P050</t>
  </si>
  <si>
    <t>P051</t>
  </si>
  <si>
    <t>P052</t>
  </si>
  <si>
    <t>P053</t>
  </si>
  <si>
    <t>P054</t>
  </si>
  <si>
    <t>P055</t>
  </si>
  <si>
    <t>P056</t>
  </si>
  <si>
    <t>P057</t>
  </si>
  <si>
    <t>P058</t>
  </si>
  <si>
    <t>P059</t>
  </si>
  <si>
    <t>P060</t>
  </si>
  <si>
    <t>P061</t>
  </si>
  <si>
    <t>P062</t>
  </si>
  <si>
    <t>P063</t>
  </si>
  <si>
    <t>P064</t>
  </si>
  <si>
    <t>P065</t>
  </si>
  <si>
    <t>P066</t>
  </si>
  <si>
    <t>P067</t>
  </si>
  <si>
    <t>P068</t>
  </si>
  <si>
    <t>P069</t>
  </si>
  <si>
    <t>P070</t>
  </si>
  <si>
    <t>P071</t>
  </si>
  <si>
    <t>P072</t>
  </si>
  <si>
    <t>P073</t>
  </si>
  <si>
    <t>P074</t>
  </si>
  <si>
    <t>P075</t>
  </si>
  <si>
    <t>P076</t>
  </si>
  <si>
    <t>P077</t>
  </si>
  <si>
    <t>P078</t>
  </si>
  <si>
    <t>P079</t>
  </si>
  <si>
    <t>P080</t>
  </si>
  <si>
    <t>P081</t>
  </si>
  <si>
    <t>P082</t>
  </si>
  <si>
    <t>P083</t>
  </si>
  <si>
    <t>P084</t>
  </si>
  <si>
    <t>P085</t>
  </si>
  <si>
    <t>P086</t>
  </si>
  <si>
    <t>P087</t>
  </si>
  <si>
    <t>P088</t>
  </si>
  <si>
    <t>P089</t>
  </si>
  <si>
    <t>P090</t>
  </si>
  <si>
    <t>P091</t>
  </si>
  <si>
    <t>P092</t>
  </si>
  <si>
    <t>P093</t>
  </si>
  <si>
    <t>P094</t>
  </si>
  <si>
    <t>P095</t>
  </si>
  <si>
    <t>P096</t>
  </si>
  <si>
    <t>P097</t>
  </si>
  <si>
    <t>P098</t>
  </si>
  <si>
    <t>P099</t>
  </si>
  <si>
    <t>P100</t>
  </si>
  <si>
    <t>Puma Sandals</t>
  </si>
  <si>
    <t>Puma Bottle</t>
  </si>
  <si>
    <t>Puma Running Shoes</t>
  </si>
  <si>
    <t>Puma Sliders</t>
  </si>
  <si>
    <t>Puma Shorts</t>
  </si>
  <si>
    <t>Puma Socks</t>
  </si>
  <si>
    <t>Puma Backpack</t>
  </si>
  <si>
    <t>Puma Hoodie</t>
  </si>
  <si>
    <t>Puma Sneakers</t>
  </si>
  <si>
    <t>Puma Jacket</t>
  </si>
  <si>
    <t>Puma Cap</t>
  </si>
  <si>
    <t>Puma Wallet</t>
  </si>
  <si>
    <t>Puma Tracksuit</t>
  </si>
  <si>
    <t>Puma T-Shirt</t>
  </si>
  <si>
    <t>Footwear</t>
  </si>
  <si>
    <t>Accessories</t>
  </si>
  <si>
    <t>Apparel</t>
  </si>
  <si>
    <t>6</t>
  </si>
  <si>
    <t>Free</t>
  </si>
  <si>
    <t>9</t>
  </si>
  <si>
    <t>S</t>
  </si>
  <si>
    <t>L</t>
  </si>
  <si>
    <t>7</t>
  </si>
  <si>
    <t>8</t>
  </si>
  <si>
    <t>XL</t>
  </si>
  <si>
    <t>11</t>
  </si>
  <si>
    <t>M</t>
  </si>
  <si>
    <t>10</t>
  </si>
  <si>
    <t>Row Labels</t>
  </si>
  <si>
    <t>Grand Total</t>
  </si>
  <si>
    <t>Sum of Stock_Quantity</t>
  </si>
  <si>
    <t>Sum of Total_Value</t>
  </si>
  <si>
    <t>Jul</t>
  </si>
  <si>
    <t>Sep</t>
  </si>
  <si>
    <t>Sum of Unit_Price</t>
  </si>
  <si>
    <t>PUMA STORE'S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</si>
</sst>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36"/>
      <color theme="1"/>
      <name val="Algerian"/>
      <family val="5"/>
    </font>
    <font>
      <sz val="11"/>
      <color theme="1"/>
      <name val="Algerian"/>
      <family val="5"/>
    </font>
  </fonts>
  <fills count="4">
    <fill>
      <patternFill patternType="none"/>
    </fill>
    <fill>
      <patternFill patternType="gray125"/>
    </fill>
    <fill>
      <patternFill patternType="solid">
        <fgColor theme="3" tint="0.59999389629810485"/>
        <bgColor indexed="64"/>
      </patternFill>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xf numFmtId="0" fontId="2" fillId="2" borderId="0" xfId="0" applyFont="1" applyFill="1"/>
    <xf numFmtId="0" fontId="3"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Apparel</c:v>
                </c:pt>
              </c:strCache>
            </c:strRef>
          </c:cat>
          <c:val>
            <c:numRef>
              <c:f>Sheet2!$B$4:$B$5</c:f>
              <c:numCache>
                <c:formatCode>General</c:formatCode>
                <c:ptCount val="1"/>
                <c:pt idx="0">
                  <c:v>437</c:v>
                </c:pt>
              </c:numCache>
            </c:numRef>
          </c:val>
          <c:extLst>
            <c:ext xmlns:c16="http://schemas.microsoft.com/office/drawing/2014/chart" uri="{C3380CC4-5D6E-409C-BE32-E72D297353CC}">
              <c16:uniqueId val="{00000000-BD63-4F26-B5BC-1F674DFBB2C8}"/>
            </c:ext>
          </c:extLst>
        </c:ser>
        <c:dLbls>
          <c:showLegendKey val="0"/>
          <c:showVal val="0"/>
          <c:showCatName val="0"/>
          <c:showSerName val="0"/>
          <c:showPercent val="0"/>
          <c:showBubbleSize val="0"/>
        </c:dLbls>
        <c:gapWidth val="219"/>
        <c:overlap val="-27"/>
        <c:axId val="2010123824"/>
        <c:axId val="2010130480"/>
      </c:barChart>
      <c:catAx>
        <c:axId val="201012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130480"/>
        <c:crosses val="autoZero"/>
        <c:auto val="1"/>
        <c:lblAlgn val="ctr"/>
        <c:lblOffset val="100"/>
        <c:noMultiLvlLbl val="0"/>
      </c:catAx>
      <c:valAx>
        <c:axId val="201013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12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Sheet3!$A$4:$A$5</c:f>
              <c:strCache>
                <c:ptCount val="1"/>
                <c:pt idx="0">
                  <c:v>Puma Hoodie</c:v>
                </c:pt>
              </c:strCache>
            </c:strRef>
          </c:cat>
          <c:val>
            <c:numRef>
              <c:f>Sheet3!$B$4:$B$5</c:f>
              <c:numCache>
                <c:formatCode>General</c:formatCode>
                <c:ptCount val="1"/>
                <c:pt idx="0">
                  <c:v>1489678</c:v>
                </c:pt>
              </c:numCache>
            </c:numRef>
          </c:val>
          <c:extLst>
            <c:ext xmlns:c16="http://schemas.microsoft.com/office/drawing/2014/chart" uri="{C3380CC4-5D6E-409C-BE32-E72D297353CC}">
              <c16:uniqueId val="{00000000-C763-461E-9521-FDF2D559212D}"/>
            </c:ext>
          </c:extLst>
        </c:ser>
        <c:dLbls>
          <c:showLegendKey val="0"/>
          <c:showVal val="0"/>
          <c:showCatName val="0"/>
          <c:showSerName val="0"/>
          <c:showPercent val="0"/>
          <c:showBubbleSize val="0"/>
        </c:dLbls>
        <c:gapWidth val="182"/>
        <c:axId val="1927318896"/>
        <c:axId val="1927320976"/>
      </c:barChart>
      <c:catAx>
        <c:axId val="1927318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320976"/>
        <c:crosses val="autoZero"/>
        <c:auto val="1"/>
        <c:lblAlgn val="ctr"/>
        <c:lblOffset val="100"/>
        <c:noMultiLvlLbl val="0"/>
      </c:catAx>
      <c:valAx>
        <c:axId val="1927320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31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Sheet4!$A$4:$A$6</c:f>
              <c:strCache>
                <c:ptCount val="2"/>
                <c:pt idx="0">
                  <c:v>Jul</c:v>
                </c:pt>
                <c:pt idx="1">
                  <c:v>Sep</c:v>
                </c:pt>
              </c:strCache>
            </c:strRef>
          </c:cat>
          <c:val>
            <c:numRef>
              <c:f>Sheet4!$B$4:$B$6</c:f>
              <c:numCache>
                <c:formatCode>General</c:formatCode>
                <c:ptCount val="2"/>
                <c:pt idx="0">
                  <c:v>375</c:v>
                </c:pt>
                <c:pt idx="1">
                  <c:v>62</c:v>
                </c:pt>
              </c:numCache>
            </c:numRef>
          </c:val>
          <c:smooth val="0"/>
          <c:extLst>
            <c:ext xmlns:c16="http://schemas.microsoft.com/office/drawing/2014/chart" uri="{C3380CC4-5D6E-409C-BE32-E72D297353CC}">
              <c16:uniqueId val="{00000000-DFAF-4BEF-B009-8509EB8D48CE}"/>
            </c:ext>
          </c:extLst>
        </c:ser>
        <c:dLbls>
          <c:showLegendKey val="0"/>
          <c:showVal val="0"/>
          <c:showCatName val="0"/>
          <c:showSerName val="0"/>
          <c:showPercent val="0"/>
          <c:showBubbleSize val="0"/>
        </c:dLbls>
        <c:marker val="1"/>
        <c:smooth val="0"/>
        <c:axId val="660646943"/>
        <c:axId val="660646527"/>
      </c:lineChart>
      <c:catAx>
        <c:axId val="66064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46527"/>
        <c:crosses val="autoZero"/>
        <c:auto val="1"/>
        <c:lblAlgn val="ctr"/>
        <c:lblOffset val="100"/>
        <c:noMultiLvlLbl val="0"/>
      </c:catAx>
      <c:valAx>
        <c:axId val="66064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4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store.xlsx]Sheet5!PivotTable1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chemeClr val="accent1"/>
            </a:solidFill>
            <a:ln>
              <a:noFill/>
            </a:ln>
            <a:effectLst/>
            <a:sp3d/>
          </c:spPr>
          <c:invertIfNegative val="0"/>
          <c:cat>
            <c:strRef>
              <c:f>Sheet5!$A$4:$A$5</c:f>
              <c:strCache>
                <c:ptCount val="1"/>
                <c:pt idx="0">
                  <c:v>XL</c:v>
                </c:pt>
              </c:strCache>
            </c:strRef>
          </c:cat>
          <c:val>
            <c:numRef>
              <c:f>Sheet5!$B$4:$B$5</c:f>
              <c:numCache>
                <c:formatCode>General</c:formatCode>
                <c:ptCount val="1"/>
                <c:pt idx="0">
                  <c:v>13578</c:v>
                </c:pt>
              </c:numCache>
            </c:numRef>
          </c:val>
          <c:extLst>
            <c:ext xmlns:c16="http://schemas.microsoft.com/office/drawing/2014/chart" uri="{C3380CC4-5D6E-409C-BE32-E72D297353CC}">
              <c16:uniqueId val="{00000000-27CE-452E-A765-4906C38AE97D}"/>
            </c:ext>
          </c:extLst>
        </c:ser>
        <c:dLbls>
          <c:showLegendKey val="0"/>
          <c:showVal val="0"/>
          <c:showCatName val="0"/>
          <c:showSerName val="0"/>
          <c:showPercent val="0"/>
          <c:showBubbleSize val="0"/>
        </c:dLbls>
        <c:gapWidth val="150"/>
        <c:shape val="box"/>
        <c:axId val="719155311"/>
        <c:axId val="719151567"/>
        <c:axId val="0"/>
      </c:bar3DChart>
      <c:catAx>
        <c:axId val="719155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51567"/>
        <c:crosses val="autoZero"/>
        <c:auto val="1"/>
        <c:lblAlgn val="ctr"/>
        <c:lblOffset val="100"/>
        <c:noMultiLvlLbl val="0"/>
      </c:catAx>
      <c:valAx>
        <c:axId val="71915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5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store.xlsx]Sheet6!PivotTable2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73-4805-8A98-F9F79A408839}"/>
              </c:ext>
            </c:extLst>
          </c:dPt>
          <c:cat>
            <c:strRef>
              <c:f>Sheet6!$A$4:$A$5</c:f>
              <c:strCache>
                <c:ptCount val="1"/>
                <c:pt idx="0">
                  <c:v>Apparel</c:v>
                </c:pt>
              </c:strCache>
            </c:strRef>
          </c:cat>
          <c:val>
            <c:numRef>
              <c:f>Sheet6!$B$4:$B$5</c:f>
              <c:numCache>
                <c:formatCode>General</c:formatCode>
                <c:ptCount val="1"/>
                <c:pt idx="0">
                  <c:v>1489678</c:v>
                </c:pt>
              </c:numCache>
            </c:numRef>
          </c:val>
          <c:extLst>
            <c:ext xmlns:c16="http://schemas.microsoft.com/office/drawing/2014/chart" uri="{C3380CC4-5D6E-409C-BE32-E72D297353CC}">
              <c16:uniqueId val="{00000000-055F-47B8-85E5-9E3F887EF9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store.xlsx]Sheet2!PivotTable1</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a:t>Categories wise stock</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Sheet2!$A$4:$A$5</c:f>
              <c:strCache>
                <c:ptCount val="1"/>
                <c:pt idx="0">
                  <c:v>Apparel</c:v>
                </c:pt>
              </c:strCache>
            </c:strRef>
          </c:cat>
          <c:val>
            <c:numRef>
              <c:f>Sheet2!$B$4:$B$5</c:f>
              <c:numCache>
                <c:formatCode>General</c:formatCode>
                <c:ptCount val="1"/>
                <c:pt idx="0">
                  <c:v>437</c:v>
                </c:pt>
              </c:numCache>
            </c:numRef>
          </c:val>
          <c:extLst>
            <c:ext xmlns:c16="http://schemas.microsoft.com/office/drawing/2014/chart" uri="{C3380CC4-5D6E-409C-BE32-E72D297353CC}">
              <c16:uniqueId val="{00000000-F697-4D3E-B693-080903C0C445}"/>
            </c:ext>
          </c:extLst>
        </c:ser>
        <c:dLbls>
          <c:showLegendKey val="0"/>
          <c:showVal val="0"/>
          <c:showCatName val="0"/>
          <c:showSerName val="0"/>
          <c:showPercent val="0"/>
          <c:showBubbleSize val="0"/>
        </c:dLbls>
        <c:gapWidth val="355"/>
        <c:overlap val="-70"/>
        <c:axId val="2010123824"/>
        <c:axId val="2010130480"/>
      </c:barChart>
      <c:catAx>
        <c:axId val="201012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130480"/>
        <c:crosses val="autoZero"/>
        <c:auto val="1"/>
        <c:lblAlgn val="ctr"/>
        <c:lblOffset val="100"/>
        <c:noMultiLvlLbl val="0"/>
      </c:catAx>
      <c:valAx>
        <c:axId val="201013048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12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store.xlsx]Sheet3!PivotTable2</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Product performance by value</a:t>
            </a:r>
          </a:p>
        </c:rich>
      </c:tx>
      <c:layout>
        <c:manualLayout>
          <c:xMode val="edge"/>
          <c:yMode val="edge"/>
          <c:x val="0.17465617436651104"/>
          <c:y val="4.889763779527559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Sheet3!$A$4:$A$5</c:f>
              <c:strCache>
                <c:ptCount val="1"/>
                <c:pt idx="0">
                  <c:v>Puma Hoodie</c:v>
                </c:pt>
              </c:strCache>
            </c:strRef>
          </c:cat>
          <c:val>
            <c:numRef>
              <c:f>Sheet3!$B$4:$B$5</c:f>
              <c:numCache>
                <c:formatCode>General</c:formatCode>
                <c:ptCount val="1"/>
                <c:pt idx="0">
                  <c:v>1489678</c:v>
                </c:pt>
              </c:numCache>
            </c:numRef>
          </c:val>
          <c:extLst>
            <c:ext xmlns:c16="http://schemas.microsoft.com/office/drawing/2014/chart" uri="{C3380CC4-5D6E-409C-BE32-E72D297353CC}">
              <c16:uniqueId val="{00000000-BFD6-4ED9-A795-9E2377AA707A}"/>
            </c:ext>
          </c:extLst>
        </c:ser>
        <c:dLbls>
          <c:showLegendKey val="0"/>
          <c:showVal val="0"/>
          <c:showCatName val="0"/>
          <c:showSerName val="0"/>
          <c:showPercent val="0"/>
          <c:showBubbleSize val="0"/>
        </c:dLbls>
        <c:gapWidth val="326"/>
        <c:overlap val="-58"/>
        <c:axId val="1927318896"/>
        <c:axId val="1927320976"/>
      </c:barChart>
      <c:catAx>
        <c:axId val="192731889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320976"/>
        <c:crosses val="autoZero"/>
        <c:auto val="1"/>
        <c:lblAlgn val="ctr"/>
        <c:lblOffset val="100"/>
        <c:noMultiLvlLbl val="0"/>
      </c:catAx>
      <c:valAx>
        <c:axId val="192732097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31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stocking trend</a:t>
            </a:r>
          </a:p>
        </c:rich>
      </c:tx>
      <c:layout>
        <c:manualLayout>
          <c:xMode val="edge"/>
          <c:yMode val="edge"/>
          <c:x val="0.20683389581175027"/>
          <c:y val="4.40549869454998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Sheet4!$A$4:$A$6</c:f>
              <c:strCache>
                <c:ptCount val="2"/>
                <c:pt idx="0">
                  <c:v>Jul</c:v>
                </c:pt>
                <c:pt idx="1">
                  <c:v>Sep</c:v>
                </c:pt>
              </c:strCache>
            </c:strRef>
          </c:cat>
          <c:val>
            <c:numRef>
              <c:f>Sheet4!$B$4:$B$6</c:f>
              <c:numCache>
                <c:formatCode>General</c:formatCode>
                <c:ptCount val="2"/>
                <c:pt idx="0">
                  <c:v>375</c:v>
                </c:pt>
                <c:pt idx="1">
                  <c:v>62</c:v>
                </c:pt>
              </c:numCache>
            </c:numRef>
          </c:val>
          <c:smooth val="0"/>
          <c:extLst>
            <c:ext xmlns:c16="http://schemas.microsoft.com/office/drawing/2014/chart" uri="{C3380CC4-5D6E-409C-BE32-E72D297353CC}">
              <c16:uniqueId val="{00000000-034A-4FD1-BE93-AF32EAF3DB57}"/>
            </c:ext>
          </c:extLst>
        </c:ser>
        <c:dLbls>
          <c:showLegendKey val="0"/>
          <c:showVal val="0"/>
          <c:showCatName val="0"/>
          <c:showSerName val="0"/>
          <c:showPercent val="0"/>
          <c:showBubbleSize val="0"/>
        </c:dLbls>
        <c:marker val="1"/>
        <c:smooth val="0"/>
        <c:axId val="660646943"/>
        <c:axId val="660646527"/>
      </c:lineChart>
      <c:catAx>
        <c:axId val="66064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46527"/>
        <c:crosses val="autoZero"/>
        <c:auto val="1"/>
        <c:lblAlgn val="ctr"/>
        <c:lblOffset val="100"/>
        <c:noMultiLvlLbl val="0"/>
      </c:catAx>
      <c:valAx>
        <c:axId val="66064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4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store.xlsx]Sheet5!PivotTable1</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Size wise analysis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Sheet5!$A$4:$A$5</c:f>
              <c:strCache>
                <c:ptCount val="1"/>
                <c:pt idx="0">
                  <c:v>XL</c:v>
                </c:pt>
              </c:strCache>
            </c:strRef>
          </c:cat>
          <c:val>
            <c:numRef>
              <c:f>Sheet5!$B$4:$B$5</c:f>
              <c:numCache>
                <c:formatCode>General</c:formatCode>
                <c:ptCount val="1"/>
                <c:pt idx="0">
                  <c:v>13578</c:v>
                </c:pt>
              </c:numCache>
            </c:numRef>
          </c:val>
          <c:extLst>
            <c:ext xmlns:c16="http://schemas.microsoft.com/office/drawing/2014/chart" uri="{C3380CC4-5D6E-409C-BE32-E72D297353CC}">
              <c16:uniqueId val="{00000000-07CB-4430-B300-FE95D1AE6BE4}"/>
            </c:ext>
          </c:extLst>
        </c:ser>
        <c:dLbls>
          <c:showLegendKey val="0"/>
          <c:showVal val="0"/>
          <c:showCatName val="0"/>
          <c:showSerName val="0"/>
          <c:showPercent val="0"/>
          <c:showBubbleSize val="0"/>
        </c:dLbls>
        <c:gapWidth val="150"/>
        <c:gapDepth val="0"/>
        <c:shape val="box"/>
        <c:axId val="719155311"/>
        <c:axId val="719151567"/>
        <c:axId val="0"/>
      </c:bar3DChart>
      <c:catAx>
        <c:axId val="719155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51567"/>
        <c:crosses val="autoZero"/>
        <c:auto val="1"/>
        <c:lblAlgn val="ctr"/>
        <c:lblOffset val="100"/>
        <c:noMultiLvlLbl val="0"/>
      </c:catAx>
      <c:valAx>
        <c:axId val="719151567"/>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9155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Dashboard puma store.xlsx]Sheet6!PivotTable2</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categories by stock value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60000"/>
                <a:lumOff val="4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60000"/>
                <a:lumOff val="4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pivotFmt>
    </c:pivotFmts>
    <c:plotArea>
      <c:layout/>
      <c:pieChart>
        <c:varyColors val="1"/>
        <c:ser>
          <c:idx val="0"/>
          <c:order val="0"/>
          <c:tx>
            <c:strRef>
              <c:f>Sheet6!$B$3</c:f>
              <c:strCache>
                <c:ptCount val="1"/>
                <c:pt idx="0">
                  <c:v>Total</c:v>
                </c:pt>
              </c:strCache>
            </c:strRef>
          </c:tx>
          <c:spPr>
            <a:ln>
              <a:solidFill>
                <a:schemeClr val="tx2">
                  <a:lumMod val="60000"/>
                  <a:lumOff val="40000"/>
                </a:schemeClr>
              </a:solidFill>
            </a:ln>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solidFill>
                  <a:schemeClr val="tx2">
                    <a:lumMod val="60000"/>
                    <a:lumOff val="4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467-4FC7-9B34-93289C520F2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solidFill>
                  <a:schemeClr val="tx2">
                    <a:lumMod val="60000"/>
                    <a:lumOff val="4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467-4FC7-9B34-93289C520F2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solidFill>
                  <a:schemeClr val="tx2">
                    <a:lumMod val="60000"/>
                    <a:lumOff val="40000"/>
                  </a:schemeClr>
                </a:soli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467-4FC7-9B34-93289C520F23}"/>
              </c:ext>
            </c:extLst>
          </c:dPt>
          <c:cat>
            <c:strRef>
              <c:f>Sheet6!$A$4:$A$5</c:f>
              <c:strCache>
                <c:ptCount val="1"/>
                <c:pt idx="0">
                  <c:v>Apparel</c:v>
                </c:pt>
              </c:strCache>
            </c:strRef>
          </c:cat>
          <c:val>
            <c:numRef>
              <c:f>Sheet6!$B$4:$B$5</c:f>
              <c:numCache>
                <c:formatCode>General</c:formatCode>
                <c:ptCount val="1"/>
                <c:pt idx="0">
                  <c:v>1489678</c:v>
                </c:pt>
              </c:numCache>
            </c:numRef>
          </c:val>
          <c:extLst>
            <c:ext xmlns:c16="http://schemas.microsoft.com/office/drawing/2014/chart" uri="{C3380CC4-5D6E-409C-BE32-E72D297353CC}">
              <c16:uniqueId val="{00000006-E467-4FC7-9B34-93289C520F2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12700</xdr:colOff>
      <xdr:row>2</xdr:row>
      <xdr:rowOff>9525</xdr:rowOff>
    </xdr:from>
    <xdr:to>
      <xdr:col>10</xdr:col>
      <xdr:colOff>317500</xdr:colOff>
      <xdr:row>16</xdr:row>
      <xdr:rowOff>174625</xdr:rowOff>
    </xdr:to>
    <xdr:graphicFrame macro="">
      <xdr:nvGraphicFramePr>
        <xdr:cNvPr id="2" name="Chart 1">
          <a:extLst>
            <a:ext uri="{FF2B5EF4-FFF2-40B4-BE49-F238E27FC236}">
              <a16:creationId xmlns:a16="http://schemas.microsoft.com/office/drawing/2014/main" id="{4D1DC7FD-D460-4BF2-AE4B-6875CF8B1D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xdr:colOff>
      <xdr:row>1</xdr:row>
      <xdr:rowOff>180975</xdr:rowOff>
    </xdr:from>
    <xdr:to>
      <xdr:col>10</xdr:col>
      <xdr:colOff>317500</xdr:colOff>
      <xdr:row>16</xdr:row>
      <xdr:rowOff>161925</xdr:rowOff>
    </xdr:to>
    <xdr:graphicFrame macro="">
      <xdr:nvGraphicFramePr>
        <xdr:cNvPr id="2" name="Chart 1">
          <a:extLst>
            <a:ext uri="{FF2B5EF4-FFF2-40B4-BE49-F238E27FC236}">
              <a16:creationId xmlns:a16="http://schemas.microsoft.com/office/drawing/2014/main" id="{27B11F5F-A6FB-491B-BE2C-CA82FD2DC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12700</xdr:colOff>
      <xdr:row>2</xdr:row>
      <xdr:rowOff>3175</xdr:rowOff>
    </xdr:from>
    <xdr:to>
      <xdr:col>10</xdr:col>
      <xdr:colOff>317500</xdr:colOff>
      <xdr:row>16</xdr:row>
      <xdr:rowOff>168275</xdr:rowOff>
    </xdr:to>
    <xdr:graphicFrame macro="">
      <xdr:nvGraphicFramePr>
        <xdr:cNvPr id="2" name="Chart 1">
          <a:extLst>
            <a:ext uri="{FF2B5EF4-FFF2-40B4-BE49-F238E27FC236}">
              <a16:creationId xmlns:a16="http://schemas.microsoft.com/office/drawing/2014/main" id="{C8C040CF-73BD-4BDC-B7A6-2E510142BF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6350</xdr:colOff>
      <xdr:row>2</xdr:row>
      <xdr:rowOff>9525</xdr:rowOff>
    </xdr:from>
    <xdr:to>
      <xdr:col>10</xdr:col>
      <xdr:colOff>25400</xdr:colOff>
      <xdr:row>15</xdr:row>
      <xdr:rowOff>12700</xdr:rowOff>
    </xdr:to>
    <xdr:graphicFrame macro="">
      <xdr:nvGraphicFramePr>
        <xdr:cNvPr id="2" name="Chart 1">
          <a:extLst>
            <a:ext uri="{FF2B5EF4-FFF2-40B4-BE49-F238E27FC236}">
              <a16:creationId xmlns:a16="http://schemas.microsoft.com/office/drawing/2014/main" id="{C00A33F7-31F9-4790-9370-F2D053256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9525</xdr:rowOff>
    </xdr:from>
    <xdr:to>
      <xdr:col>10</xdr:col>
      <xdr:colOff>25400</xdr:colOff>
      <xdr:row>15</xdr:row>
      <xdr:rowOff>6350</xdr:rowOff>
    </xdr:to>
    <xdr:graphicFrame macro="">
      <xdr:nvGraphicFramePr>
        <xdr:cNvPr id="2" name="Chart 1">
          <a:extLst>
            <a:ext uri="{FF2B5EF4-FFF2-40B4-BE49-F238E27FC236}">
              <a16:creationId xmlns:a16="http://schemas.microsoft.com/office/drawing/2014/main" id="{F6C2C07D-D194-4452-AEF3-6567C0E51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xdr:colOff>
      <xdr:row>1</xdr:row>
      <xdr:rowOff>0</xdr:rowOff>
    </xdr:from>
    <xdr:to>
      <xdr:col>10</xdr:col>
      <xdr:colOff>1</xdr:colOff>
      <xdr:row>15</xdr:row>
      <xdr:rowOff>0</xdr:rowOff>
    </xdr:to>
    <xdr:graphicFrame macro="">
      <xdr:nvGraphicFramePr>
        <xdr:cNvPr id="2" name="Chart 1">
          <a:extLst>
            <a:ext uri="{FF2B5EF4-FFF2-40B4-BE49-F238E27FC236}">
              <a16:creationId xmlns:a16="http://schemas.microsoft.com/office/drawing/2014/main" id="{5A2903BB-4C0F-401A-82E6-437FE63EB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xdr:row>
      <xdr:rowOff>0</xdr:rowOff>
    </xdr:from>
    <xdr:to>
      <xdr:col>18</xdr:col>
      <xdr:colOff>9071</xdr:colOff>
      <xdr:row>15</xdr:row>
      <xdr:rowOff>0</xdr:rowOff>
    </xdr:to>
    <xdr:graphicFrame macro="">
      <xdr:nvGraphicFramePr>
        <xdr:cNvPr id="3" name="Chart 2">
          <a:extLst>
            <a:ext uri="{FF2B5EF4-FFF2-40B4-BE49-F238E27FC236}">
              <a16:creationId xmlns:a16="http://schemas.microsoft.com/office/drawing/2014/main" id="{EFA9CFCC-7423-4D76-9877-A5A2E354A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11546</xdr:colOff>
      <xdr:row>16</xdr:row>
      <xdr:rowOff>11545</xdr:rowOff>
    </xdr:from>
    <xdr:to>
      <xdr:col>18</xdr:col>
      <xdr:colOff>20616</xdr:colOff>
      <xdr:row>27</xdr:row>
      <xdr:rowOff>173181</xdr:rowOff>
    </xdr:to>
    <xdr:graphicFrame macro="">
      <xdr:nvGraphicFramePr>
        <xdr:cNvPr id="4" name="Chart 3">
          <a:extLst>
            <a:ext uri="{FF2B5EF4-FFF2-40B4-BE49-F238E27FC236}">
              <a16:creationId xmlns:a16="http://schemas.microsoft.com/office/drawing/2014/main" id="{1D695527-2866-4689-A781-830045E2F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16</xdr:row>
      <xdr:rowOff>1</xdr:rowOff>
    </xdr:from>
    <xdr:to>
      <xdr:col>10</xdr:col>
      <xdr:colOff>9072</xdr:colOff>
      <xdr:row>27</xdr:row>
      <xdr:rowOff>172359</xdr:rowOff>
    </xdr:to>
    <xdr:graphicFrame macro="">
      <xdr:nvGraphicFramePr>
        <xdr:cNvPr id="5" name="Chart 4">
          <a:extLst>
            <a:ext uri="{FF2B5EF4-FFF2-40B4-BE49-F238E27FC236}">
              <a16:creationId xmlns:a16="http://schemas.microsoft.com/office/drawing/2014/main" id="{7F307304-2009-46B8-B9EF-1369AFAFF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34636</xdr:colOff>
      <xdr:row>1</xdr:row>
      <xdr:rowOff>0</xdr:rowOff>
    </xdr:from>
    <xdr:to>
      <xdr:col>25</xdr:col>
      <xdr:colOff>599722</xdr:colOff>
      <xdr:row>27</xdr:row>
      <xdr:rowOff>150091</xdr:rowOff>
    </xdr:to>
    <xdr:graphicFrame macro="">
      <xdr:nvGraphicFramePr>
        <xdr:cNvPr id="6" name="Chart 5">
          <a:extLst>
            <a:ext uri="{FF2B5EF4-FFF2-40B4-BE49-F238E27FC236}">
              <a16:creationId xmlns:a16="http://schemas.microsoft.com/office/drawing/2014/main" id="{F3FED923-79DF-4728-8A93-8FCF2705A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xdr:row>
      <xdr:rowOff>26645</xdr:rowOff>
    </xdr:from>
    <xdr:to>
      <xdr:col>2</xdr:col>
      <xdr:colOff>604982</xdr:colOff>
      <xdr:row>20</xdr:row>
      <xdr:rowOff>145143</xdr:rowOff>
    </xdr:to>
    <mc:AlternateContent xmlns:mc="http://schemas.openxmlformats.org/markup-compatibility/2006" xmlns:a14="http://schemas.microsoft.com/office/drawing/2010/main">
      <mc:Choice Requires="a14">
        <xdr:graphicFrame macro="">
          <xdr:nvGraphicFramePr>
            <xdr:cNvPr id="9" name="Product_Name">
              <a:extLst>
                <a:ext uri="{FF2B5EF4-FFF2-40B4-BE49-F238E27FC236}">
                  <a16:creationId xmlns:a16="http://schemas.microsoft.com/office/drawing/2014/main" id="{8FEC9498-BF6F-435E-9B87-2AB7B3B50894}"/>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0" y="766233"/>
              <a:ext cx="1830158" cy="35474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2685</xdr:rowOff>
    </xdr:from>
    <xdr:to>
      <xdr:col>2</xdr:col>
      <xdr:colOff>2517588</xdr:colOff>
      <xdr:row>27</xdr:row>
      <xdr:rowOff>117930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93DE50FD-EC67-458D-BF7F-1501CFB55FF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358038"/>
              <a:ext cx="3742764" cy="123583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635576</xdr:colOff>
      <xdr:row>1</xdr:row>
      <xdr:rowOff>30595</xdr:rowOff>
    </xdr:from>
    <xdr:to>
      <xdr:col>2</xdr:col>
      <xdr:colOff>2510117</xdr:colOff>
      <xdr:row>20</xdr:row>
      <xdr:rowOff>136072</xdr:rowOff>
    </xdr:to>
    <mc:AlternateContent xmlns:mc="http://schemas.openxmlformats.org/markup-compatibility/2006" xmlns:a14="http://schemas.microsoft.com/office/drawing/2010/main">
      <mc:Choice Requires="a14">
        <xdr:graphicFrame macro="">
          <xdr:nvGraphicFramePr>
            <xdr:cNvPr id="11" name="Size">
              <a:extLst>
                <a:ext uri="{FF2B5EF4-FFF2-40B4-BE49-F238E27FC236}">
                  <a16:creationId xmlns:a16="http://schemas.microsoft.com/office/drawing/2014/main" id="{BD7CD57F-DF93-45E5-B4A8-EA1FABC165B8}"/>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860752" y="770183"/>
              <a:ext cx="1874541" cy="35344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SHELAR" refreshedDate="45903.697379745368" createdVersion="7" refreshedVersion="7" minRefreshableVersion="3" recordCount="100" xr:uid="{39C61E30-CFB5-408A-B533-D5410030A760}">
  <cacheSource type="worksheet">
    <worksheetSource ref="A1:H101" sheet="Data"/>
  </cacheSource>
  <cacheFields count="9">
    <cacheField name="Item_ID" numFmtId="0">
      <sharedItems/>
    </cacheField>
    <cacheField name="Product_Name" numFmtId="0">
      <sharedItems count="14">
        <s v="Puma Sandals"/>
        <s v="Puma Bottle"/>
        <s v="Puma Running Shoes"/>
        <s v="Puma Sliders"/>
        <s v="Puma Shorts"/>
        <s v="Puma Socks"/>
        <s v="Puma Backpack"/>
        <s v="Puma Hoodie"/>
        <s v="Puma Sneakers"/>
        <s v="Puma Jacket"/>
        <s v="Puma Cap"/>
        <s v="Puma Wallet"/>
        <s v="Puma Tracksuit"/>
        <s v="Puma T-Shirt"/>
      </sharedItems>
    </cacheField>
    <cacheField name="Category" numFmtId="0">
      <sharedItems count="3">
        <s v="Footwear"/>
        <s v="Accessories"/>
        <s v="Apparel"/>
      </sharedItems>
    </cacheField>
    <cacheField name="Size" numFmtId="0">
      <sharedItems count="11">
        <s v="6"/>
        <s v="Free"/>
        <s v="9"/>
        <s v="S"/>
        <s v="L"/>
        <s v="7"/>
        <s v="8"/>
        <s v="XL"/>
        <s v="11"/>
        <s v="M"/>
        <s v="10"/>
      </sharedItems>
    </cacheField>
    <cacheField name="Stock_Quantity" numFmtId="0">
      <sharedItems containsSemiMixedTypes="0" containsString="0" containsNumber="1" containsInteger="1" minValue="10" maxValue="149" count="77">
        <n v="28"/>
        <n v="118"/>
        <n v="82"/>
        <n v="105"/>
        <n v="35"/>
        <n v="114"/>
        <n v="75"/>
        <n v="40"/>
        <n v="146"/>
        <n v="120"/>
        <n v="65"/>
        <n v="102"/>
        <n v="77"/>
        <n v="126"/>
        <n v="94"/>
        <n v="58"/>
        <n v="86"/>
        <n v="149"/>
        <n v="136"/>
        <n v="73"/>
        <n v="106"/>
        <n v="69"/>
        <n v="26"/>
        <n v="29"/>
        <n v="100"/>
        <n v="12"/>
        <n v="49"/>
        <n v="134"/>
        <n v="147"/>
        <n v="145"/>
        <n v="63"/>
        <n v="107"/>
        <n v="21"/>
        <n v="76"/>
        <n v="129"/>
        <n v="89"/>
        <n v="88"/>
        <n v="131"/>
        <n v="95"/>
        <n v="90"/>
        <n v="45"/>
        <n v="14"/>
        <n v="112"/>
        <n v="31"/>
        <n v="10"/>
        <n v="74"/>
        <n v="81"/>
        <n v="62"/>
        <n v="24"/>
        <n v="57"/>
        <n v="128"/>
        <n v="22"/>
        <n v="43"/>
        <n v="39"/>
        <n v="44"/>
        <n v="83"/>
        <n v="103"/>
        <n v="123"/>
        <n v="25"/>
        <n v="13"/>
        <n v="56"/>
        <n v="38"/>
        <n v="47"/>
        <n v="17"/>
        <n v="113"/>
        <n v="42"/>
        <n v="125"/>
        <n v="142"/>
        <n v="148"/>
        <n v="46"/>
        <n v="50"/>
        <n v="111"/>
        <n v="124"/>
        <n v="121"/>
        <n v="143"/>
        <n v="109"/>
        <n v="33"/>
      </sharedItems>
    </cacheField>
    <cacheField name="Unit_Price" numFmtId="0">
      <sharedItems containsSemiMixedTypes="0" containsString="0" containsNumber="1" containsInteger="1" minValue="536" maxValue="4972"/>
    </cacheField>
    <cacheField name="Total_Value" numFmtId="0">
      <sharedItems containsSemiMixedTypes="0" containsString="0" containsNumber="1" containsInteger="1" minValue="16558" maxValue="661560"/>
    </cacheField>
    <cacheField name="Last_Stocked_Date" numFmtId="14">
      <sharedItems containsSemiMixedTypes="0" containsNonDate="0" containsDate="1" containsString="0" minDate="2025-06-27T00:00:00" maxDate="2025-10-05T00:00:00" count="1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sharedItems>
      <fieldGroup par="8" base="7">
        <rangePr groupBy="days" startDate="2025-06-27T00:00:00" endDate="2025-10-05T00:00:00"/>
        <groupItems count="368">
          <s v="&lt;27/06/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10/2025"/>
        </groupItems>
      </fieldGroup>
    </cacheField>
    <cacheField name="Months" numFmtId="0" databaseField="0">
      <fieldGroup base="7">
        <rangePr groupBy="months" startDate="2025-06-27T00:00:00" endDate="2025-10-05T00:00:00"/>
        <groupItems count="14">
          <s v="&lt;27/06/2025"/>
          <s v="Jan"/>
          <s v="Feb"/>
          <s v="Mar"/>
          <s v="Apr"/>
          <s v="May"/>
          <s v="Jun"/>
          <s v="Jul"/>
          <s v="Aug"/>
          <s v="Sep"/>
          <s v="Oct"/>
          <s v="Nov"/>
          <s v="Dec"/>
          <s v="&gt;05/10/2025"/>
        </groupItems>
      </fieldGroup>
    </cacheField>
  </cacheFields>
  <extLst>
    <ext xmlns:x14="http://schemas.microsoft.com/office/spreadsheetml/2009/9/main" uri="{725AE2AE-9491-48be-B2B4-4EB974FC3084}">
      <x14:pivotCacheDefinition pivotCacheId="1656998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P001"/>
    <x v="0"/>
    <x v="0"/>
    <x v="0"/>
    <x v="0"/>
    <n v="3536"/>
    <n v="99008"/>
    <x v="0"/>
  </r>
  <r>
    <s v="P002"/>
    <x v="1"/>
    <x v="1"/>
    <x v="1"/>
    <x v="1"/>
    <n v="4606"/>
    <n v="543508"/>
    <x v="1"/>
  </r>
  <r>
    <s v="P003"/>
    <x v="2"/>
    <x v="0"/>
    <x v="0"/>
    <x v="2"/>
    <n v="1802"/>
    <n v="147764"/>
    <x v="2"/>
  </r>
  <r>
    <s v="P004"/>
    <x v="2"/>
    <x v="0"/>
    <x v="2"/>
    <x v="3"/>
    <n v="1318"/>
    <n v="138390"/>
    <x v="3"/>
  </r>
  <r>
    <s v="P005"/>
    <x v="3"/>
    <x v="0"/>
    <x v="0"/>
    <x v="4"/>
    <n v="3365"/>
    <n v="117775"/>
    <x v="4"/>
  </r>
  <r>
    <s v="P006"/>
    <x v="4"/>
    <x v="2"/>
    <x v="3"/>
    <x v="5"/>
    <n v="4637"/>
    <n v="528618"/>
    <x v="5"/>
  </r>
  <r>
    <s v="P007"/>
    <x v="5"/>
    <x v="1"/>
    <x v="1"/>
    <x v="6"/>
    <n v="4638"/>
    <n v="347850"/>
    <x v="6"/>
  </r>
  <r>
    <s v="P008"/>
    <x v="6"/>
    <x v="1"/>
    <x v="1"/>
    <x v="7"/>
    <n v="3289"/>
    <n v="131560"/>
    <x v="7"/>
  </r>
  <r>
    <s v="P009"/>
    <x v="4"/>
    <x v="2"/>
    <x v="4"/>
    <x v="8"/>
    <n v="680"/>
    <n v="99280"/>
    <x v="8"/>
  </r>
  <r>
    <s v="P010"/>
    <x v="3"/>
    <x v="0"/>
    <x v="5"/>
    <x v="9"/>
    <n v="2824"/>
    <n v="338880"/>
    <x v="9"/>
  </r>
  <r>
    <s v="P011"/>
    <x v="6"/>
    <x v="1"/>
    <x v="1"/>
    <x v="10"/>
    <n v="1239"/>
    <n v="80535"/>
    <x v="10"/>
  </r>
  <r>
    <s v="P012"/>
    <x v="2"/>
    <x v="0"/>
    <x v="6"/>
    <x v="11"/>
    <n v="4223"/>
    <n v="430746"/>
    <x v="11"/>
  </r>
  <r>
    <s v="P013"/>
    <x v="2"/>
    <x v="0"/>
    <x v="6"/>
    <x v="12"/>
    <n v="1273"/>
    <n v="98021"/>
    <x v="12"/>
  </r>
  <r>
    <s v="P014"/>
    <x v="5"/>
    <x v="1"/>
    <x v="1"/>
    <x v="13"/>
    <n v="3550"/>
    <n v="447300"/>
    <x v="13"/>
  </r>
  <r>
    <s v="P015"/>
    <x v="7"/>
    <x v="2"/>
    <x v="7"/>
    <x v="14"/>
    <n v="4394"/>
    <n v="413036"/>
    <x v="14"/>
  </r>
  <r>
    <s v="P016"/>
    <x v="1"/>
    <x v="1"/>
    <x v="1"/>
    <x v="15"/>
    <n v="1884"/>
    <n v="109272"/>
    <x v="15"/>
  </r>
  <r>
    <s v="P017"/>
    <x v="3"/>
    <x v="0"/>
    <x v="5"/>
    <x v="16"/>
    <n v="1928"/>
    <n v="165808"/>
    <x v="16"/>
  </r>
  <r>
    <s v="P018"/>
    <x v="5"/>
    <x v="1"/>
    <x v="1"/>
    <x v="17"/>
    <n v="4440"/>
    <n v="661560"/>
    <x v="17"/>
  </r>
  <r>
    <s v="P019"/>
    <x v="7"/>
    <x v="2"/>
    <x v="7"/>
    <x v="18"/>
    <n v="4037"/>
    <n v="549032"/>
    <x v="18"/>
  </r>
  <r>
    <s v="P020"/>
    <x v="8"/>
    <x v="0"/>
    <x v="6"/>
    <x v="19"/>
    <n v="3434"/>
    <n v="250682"/>
    <x v="19"/>
  </r>
  <r>
    <s v="P021"/>
    <x v="8"/>
    <x v="0"/>
    <x v="8"/>
    <x v="20"/>
    <n v="4651"/>
    <n v="493006"/>
    <x v="20"/>
  </r>
  <r>
    <s v="P022"/>
    <x v="4"/>
    <x v="2"/>
    <x v="3"/>
    <x v="21"/>
    <n v="3354"/>
    <n v="231426"/>
    <x v="21"/>
  </r>
  <r>
    <s v="P023"/>
    <x v="9"/>
    <x v="2"/>
    <x v="4"/>
    <x v="22"/>
    <n v="2842"/>
    <n v="73892"/>
    <x v="22"/>
  </r>
  <r>
    <s v="P024"/>
    <x v="6"/>
    <x v="1"/>
    <x v="1"/>
    <x v="12"/>
    <n v="3205"/>
    <n v="246785"/>
    <x v="23"/>
  </r>
  <r>
    <s v="P025"/>
    <x v="9"/>
    <x v="2"/>
    <x v="9"/>
    <x v="23"/>
    <n v="3435"/>
    <n v="99615"/>
    <x v="24"/>
  </r>
  <r>
    <s v="P026"/>
    <x v="4"/>
    <x v="2"/>
    <x v="3"/>
    <x v="24"/>
    <n v="2656"/>
    <n v="265600"/>
    <x v="25"/>
  </r>
  <r>
    <s v="P027"/>
    <x v="5"/>
    <x v="1"/>
    <x v="1"/>
    <x v="25"/>
    <n v="4235"/>
    <n v="50820"/>
    <x v="26"/>
  </r>
  <r>
    <s v="P028"/>
    <x v="5"/>
    <x v="1"/>
    <x v="1"/>
    <x v="26"/>
    <n v="2144"/>
    <n v="105056"/>
    <x v="27"/>
  </r>
  <r>
    <s v="P029"/>
    <x v="3"/>
    <x v="0"/>
    <x v="10"/>
    <x v="27"/>
    <n v="3025"/>
    <n v="405350"/>
    <x v="28"/>
  </r>
  <r>
    <s v="P030"/>
    <x v="6"/>
    <x v="1"/>
    <x v="1"/>
    <x v="28"/>
    <n v="3132"/>
    <n v="460404"/>
    <x v="29"/>
  </r>
  <r>
    <s v="P031"/>
    <x v="0"/>
    <x v="0"/>
    <x v="5"/>
    <x v="16"/>
    <n v="4864"/>
    <n v="418304"/>
    <x v="30"/>
  </r>
  <r>
    <s v="P032"/>
    <x v="7"/>
    <x v="2"/>
    <x v="7"/>
    <x v="29"/>
    <n v="2512"/>
    <n v="364240"/>
    <x v="31"/>
  </r>
  <r>
    <s v="P033"/>
    <x v="9"/>
    <x v="2"/>
    <x v="7"/>
    <x v="30"/>
    <n v="710"/>
    <n v="44730"/>
    <x v="32"/>
  </r>
  <r>
    <s v="P034"/>
    <x v="6"/>
    <x v="1"/>
    <x v="1"/>
    <x v="31"/>
    <n v="536"/>
    <n v="57352"/>
    <x v="33"/>
  </r>
  <r>
    <s v="P035"/>
    <x v="8"/>
    <x v="0"/>
    <x v="5"/>
    <x v="32"/>
    <n v="3706"/>
    <n v="77826"/>
    <x v="34"/>
  </r>
  <r>
    <s v="P036"/>
    <x v="5"/>
    <x v="1"/>
    <x v="1"/>
    <x v="13"/>
    <n v="3815"/>
    <n v="480690"/>
    <x v="35"/>
  </r>
  <r>
    <s v="P037"/>
    <x v="1"/>
    <x v="1"/>
    <x v="1"/>
    <x v="33"/>
    <n v="1622"/>
    <n v="123272"/>
    <x v="36"/>
  </r>
  <r>
    <s v="P038"/>
    <x v="4"/>
    <x v="2"/>
    <x v="9"/>
    <x v="34"/>
    <n v="2974"/>
    <n v="383646"/>
    <x v="37"/>
  </r>
  <r>
    <s v="P039"/>
    <x v="8"/>
    <x v="0"/>
    <x v="10"/>
    <x v="35"/>
    <n v="1989"/>
    <n v="177021"/>
    <x v="38"/>
  </r>
  <r>
    <s v="P040"/>
    <x v="7"/>
    <x v="2"/>
    <x v="9"/>
    <x v="34"/>
    <n v="3163"/>
    <n v="408027"/>
    <x v="39"/>
  </r>
  <r>
    <s v="P041"/>
    <x v="10"/>
    <x v="1"/>
    <x v="1"/>
    <x v="30"/>
    <n v="1216"/>
    <n v="76608"/>
    <x v="40"/>
  </r>
  <r>
    <s v="P042"/>
    <x v="11"/>
    <x v="1"/>
    <x v="1"/>
    <x v="36"/>
    <n v="4776"/>
    <n v="420288"/>
    <x v="41"/>
  </r>
  <r>
    <s v="P043"/>
    <x v="12"/>
    <x v="2"/>
    <x v="4"/>
    <x v="37"/>
    <n v="4585"/>
    <n v="600635"/>
    <x v="42"/>
  </r>
  <r>
    <s v="P044"/>
    <x v="13"/>
    <x v="2"/>
    <x v="7"/>
    <x v="38"/>
    <n v="2743"/>
    <n v="260585"/>
    <x v="43"/>
  </r>
  <r>
    <s v="P045"/>
    <x v="5"/>
    <x v="1"/>
    <x v="1"/>
    <x v="39"/>
    <n v="2754"/>
    <n v="247860"/>
    <x v="44"/>
  </r>
  <r>
    <s v="P046"/>
    <x v="0"/>
    <x v="0"/>
    <x v="2"/>
    <x v="36"/>
    <n v="3827"/>
    <n v="336776"/>
    <x v="45"/>
  </r>
  <r>
    <s v="P047"/>
    <x v="12"/>
    <x v="2"/>
    <x v="4"/>
    <x v="40"/>
    <n v="4848"/>
    <n v="218160"/>
    <x v="46"/>
  </r>
  <r>
    <s v="P048"/>
    <x v="1"/>
    <x v="1"/>
    <x v="1"/>
    <x v="41"/>
    <n v="3852"/>
    <n v="53928"/>
    <x v="47"/>
  </r>
  <r>
    <s v="P049"/>
    <x v="10"/>
    <x v="1"/>
    <x v="1"/>
    <x v="14"/>
    <n v="662"/>
    <n v="62228"/>
    <x v="48"/>
  </r>
  <r>
    <s v="P050"/>
    <x v="0"/>
    <x v="0"/>
    <x v="5"/>
    <x v="42"/>
    <n v="3697"/>
    <n v="414064"/>
    <x v="49"/>
  </r>
  <r>
    <s v="P051"/>
    <x v="0"/>
    <x v="0"/>
    <x v="5"/>
    <x v="32"/>
    <n v="2351"/>
    <n v="49371"/>
    <x v="50"/>
  </r>
  <r>
    <s v="P052"/>
    <x v="0"/>
    <x v="0"/>
    <x v="10"/>
    <x v="43"/>
    <n v="4250"/>
    <n v="131750"/>
    <x v="51"/>
  </r>
  <r>
    <s v="P053"/>
    <x v="3"/>
    <x v="0"/>
    <x v="2"/>
    <x v="44"/>
    <n v="3209"/>
    <n v="32090"/>
    <x v="52"/>
  </r>
  <r>
    <s v="P054"/>
    <x v="5"/>
    <x v="1"/>
    <x v="1"/>
    <x v="45"/>
    <n v="2742"/>
    <n v="202908"/>
    <x v="53"/>
  </r>
  <r>
    <s v="P055"/>
    <x v="1"/>
    <x v="1"/>
    <x v="1"/>
    <x v="8"/>
    <n v="3394"/>
    <n v="495524"/>
    <x v="54"/>
  </r>
  <r>
    <s v="P056"/>
    <x v="8"/>
    <x v="0"/>
    <x v="5"/>
    <x v="46"/>
    <n v="1675"/>
    <n v="135675"/>
    <x v="55"/>
  </r>
  <r>
    <s v="P057"/>
    <x v="10"/>
    <x v="1"/>
    <x v="1"/>
    <x v="23"/>
    <n v="2863"/>
    <n v="83027"/>
    <x v="56"/>
  </r>
  <r>
    <s v="P058"/>
    <x v="0"/>
    <x v="0"/>
    <x v="0"/>
    <x v="47"/>
    <n v="1330"/>
    <n v="82460"/>
    <x v="57"/>
  </r>
  <r>
    <s v="P059"/>
    <x v="2"/>
    <x v="0"/>
    <x v="10"/>
    <x v="2"/>
    <n v="2645"/>
    <n v="216890"/>
    <x v="58"/>
  </r>
  <r>
    <s v="P060"/>
    <x v="0"/>
    <x v="0"/>
    <x v="6"/>
    <x v="48"/>
    <n v="3256"/>
    <n v="78144"/>
    <x v="59"/>
  </r>
  <r>
    <s v="P061"/>
    <x v="8"/>
    <x v="0"/>
    <x v="8"/>
    <x v="49"/>
    <n v="3881"/>
    <n v="221217"/>
    <x v="60"/>
  </r>
  <r>
    <s v="P062"/>
    <x v="10"/>
    <x v="1"/>
    <x v="1"/>
    <x v="6"/>
    <n v="4220"/>
    <n v="316500"/>
    <x v="61"/>
  </r>
  <r>
    <s v="P063"/>
    <x v="7"/>
    <x v="2"/>
    <x v="4"/>
    <x v="50"/>
    <n v="4148"/>
    <n v="530944"/>
    <x v="62"/>
  </r>
  <r>
    <s v="P064"/>
    <x v="3"/>
    <x v="0"/>
    <x v="6"/>
    <x v="51"/>
    <n v="3920"/>
    <n v="86240"/>
    <x v="63"/>
  </r>
  <r>
    <s v="P065"/>
    <x v="1"/>
    <x v="1"/>
    <x v="1"/>
    <x v="52"/>
    <n v="4972"/>
    <n v="213796"/>
    <x v="64"/>
  </r>
  <r>
    <s v="P066"/>
    <x v="12"/>
    <x v="2"/>
    <x v="4"/>
    <x v="53"/>
    <n v="1130"/>
    <n v="44070"/>
    <x v="65"/>
  </r>
  <r>
    <s v="P067"/>
    <x v="0"/>
    <x v="0"/>
    <x v="2"/>
    <x v="54"/>
    <n v="3653"/>
    <n v="160732"/>
    <x v="66"/>
  </r>
  <r>
    <s v="P068"/>
    <x v="8"/>
    <x v="0"/>
    <x v="5"/>
    <x v="55"/>
    <n v="4708"/>
    <n v="390764"/>
    <x v="67"/>
  </r>
  <r>
    <s v="P069"/>
    <x v="0"/>
    <x v="0"/>
    <x v="2"/>
    <x v="56"/>
    <n v="3432"/>
    <n v="353496"/>
    <x v="68"/>
  </r>
  <r>
    <s v="P070"/>
    <x v="4"/>
    <x v="2"/>
    <x v="7"/>
    <x v="57"/>
    <n v="920"/>
    <n v="113160"/>
    <x v="69"/>
  </r>
  <r>
    <s v="P071"/>
    <x v="5"/>
    <x v="1"/>
    <x v="1"/>
    <x v="58"/>
    <n v="667"/>
    <n v="16675"/>
    <x v="70"/>
  </r>
  <r>
    <s v="P072"/>
    <x v="5"/>
    <x v="1"/>
    <x v="1"/>
    <x v="59"/>
    <n v="3320"/>
    <n v="43160"/>
    <x v="71"/>
  </r>
  <r>
    <s v="P073"/>
    <x v="1"/>
    <x v="1"/>
    <x v="1"/>
    <x v="60"/>
    <n v="2866"/>
    <n v="160496"/>
    <x v="72"/>
  </r>
  <r>
    <s v="P074"/>
    <x v="8"/>
    <x v="0"/>
    <x v="8"/>
    <x v="15"/>
    <n v="4954"/>
    <n v="287332"/>
    <x v="73"/>
  </r>
  <r>
    <s v="P075"/>
    <x v="1"/>
    <x v="1"/>
    <x v="1"/>
    <x v="6"/>
    <n v="1169"/>
    <n v="87675"/>
    <x v="74"/>
  </r>
  <r>
    <s v="P076"/>
    <x v="5"/>
    <x v="1"/>
    <x v="1"/>
    <x v="61"/>
    <n v="4680"/>
    <n v="177840"/>
    <x v="75"/>
  </r>
  <r>
    <s v="P077"/>
    <x v="0"/>
    <x v="0"/>
    <x v="2"/>
    <x v="62"/>
    <n v="805"/>
    <n v="37835"/>
    <x v="76"/>
  </r>
  <r>
    <s v="P078"/>
    <x v="7"/>
    <x v="2"/>
    <x v="7"/>
    <x v="47"/>
    <n v="2635"/>
    <n v="163370"/>
    <x v="77"/>
  </r>
  <r>
    <s v="P079"/>
    <x v="13"/>
    <x v="2"/>
    <x v="4"/>
    <x v="63"/>
    <n v="974"/>
    <n v="16558"/>
    <x v="78"/>
  </r>
  <r>
    <s v="P080"/>
    <x v="10"/>
    <x v="1"/>
    <x v="1"/>
    <x v="60"/>
    <n v="864"/>
    <n v="48384"/>
    <x v="79"/>
  </r>
  <r>
    <s v="P081"/>
    <x v="11"/>
    <x v="1"/>
    <x v="1"/>
    <x v="1"/>
    <n v="3685"/>
    <n v="434830"/>
    <x v="80"/>
  </r>
  <r>
    <s v="P082"/>
    <x v="13"/>
    <x v="2"/>
    <x v="7"/>
    <x v="64"/>
    <n v="4013"/>
    <n v="453469"/>
    <x v="81"/>
  </r>
  <r>
    <s v="P083"/>
    <x v="3"/>
    <x v="0"/>
    <x v="6"/>
    <x v="16"/>
    <n v="4961"/>
    <n v="426646"/>
    <x v="82"/>
  </r>
  <r>
    <s v="P084"/>
    <x v="5"/>
    <x v="1"/>
    <x v="1"/>
    <x v="65"/>
    <n v="4276"/>
    <n v="179592"/>
    <x v="83"/>
  </r>
  <r>
    <s v="P085"/>
    <x v="7"/>
    <x v="2"/>
    <x v="3"/>
    <x v="66"/>
    <n v="1532"/>
    <n v="191500"/>
    <x v="84"/>
  </r>
  <r>
    <s v="P086"/>
    <x v="10"/>
    <x v="1"/>
    <x v="1"/>
    <x v="67"/>
    <n v="1825"/>
    <n v="259150"/>
    <x v="85"/>
  </r>
  <r>
    <s v="P087"/>
    <x v="0"/>
    <x v="0"/>
    <x v="8"/>
    <x v="68"/>
    <n v="3061"/>
    <n v="453028"/>
    <x v="86"/>
  </r>
  <r>
    <s v="P088"/>
    <x v="8"/>
    <x v="0"/>
    <x v="2"/>
    <x v="69"/>
    <n v="603"/>
    <n v="27738"/>
    <x v="87"/>
  </r>
  <r>
    <s v="P089"/>
    <x v="0"/>
    <x v="0"/>
    <x v="8"/>
    <x v="22"/>
    <n v="3544"/>
    <n v="92144"/>
    <x v="88"/>
  </r>
  <r>
    <s v="P090"/>
    <x v="13"/>
    <x v="2"/>
    <x v="3"/>
    <x v="70"/>
    <n v="3647"/>
    <n v="182350"/>
    <x v="89"/>
  </r>
  <r>
    <s v="P091"/>
    <x v="1"/>
    <x v="1"/>
    <x v="1"/>
    <x v="17"/>
    <n v="2595"/>
    <n v="386655"/>
    <x v="90"/>
  </r>
  <r>
    <s v="P092"/>
    <x v="7"/>
    <x v="2"/>
    <x v="4"/>
    <x v="71"/>
    <n v="1551"/>
    <n v="172161"/>
    <x v="91"/>
  </r>
  <r>
    <s v="P093"/>
    <x v="3"/>
    <x v="0"/>
    <x v="8"/>
    <x v="72"/>
    <n v="2655"/>
    <n v="329220"/>
    <x v="92"/>
  </r>
  <r>
    <s v="P094"/>
    <x v="3"/>
    <x v="0"/>
    <x v="8"/>
    <x v="73"/>
    <n v="2671"/>
    <n v="323191"/>
    <x v="93"/>
  </r>
  <r>
    <s v="P095"/>
    <x v="3"/>
    <x v="0"/>
    <x v="10"/>
    <x v="74"/>
    <n v="4169"/>
    <n v="596167"/>
    <x v="94"/>
  </r>
  <r>
    <s v="P096"/>
    <x v="8"/>
    <x v="0"/>
    <x v="8"/>
    <x v="75"/>
    <n v="3486"/>
    <n v="379974"/>
    <x v="95"/>
  </r>
  <r>
    <s v="P097"/>
    <x v="4"/>
    <x v="2"/>
    <x v="9"/>
    <x v="25"/>
    <n v="2606"/>
    <n v="31272"/>
    <x v="96"/>
  </r>
  <r>
    <s v="P098"/>
    <x v="12"/>
    <x v="2"/>
    <x v="4"/>
    <x v="76"/>
    <n v="818"/>
    <n v="26994"/>
    <x v="97"/>
  </r>
  <r>
    <s v="P099"/>
    <x v="6"/>
    <x v="1"/>
    <x v="1"/>
    <x v="50"/>
    <n v="4729"/>
    <n v="605312"/>
    <x v="98"/>
  </r>
  <r>
    <s v="P100"/>
    <x v="4"/>
    <x v="2"/>
    <x v="9"/>
    <x v="19"/>
    <n v="3690"/>
    <n v="269370"/>
    <x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A5F26B-4855-4272-95E9-C5A12F1B600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9">
    <pivotField showAll="0"/>
    <pivotField showAll="0">
      <items count="15">
        <item h="1" x="6"/>
        <item h="1" x="1"/>
        <item h="1" x="10"/>
        <item x="7"/>
        <item h="1" x="9"/>
        <item h="1" x="2"/>
        <item h="1" x="0"/>
        <item h="1" x="4"/>
        <item h="1" x="3"/>
        <item h="1" x="8"/>
        <item h="1" x="5"/>
        <item h="1" x="12"/>
        <item h="1" x="13"/>
        <item h="1" x="11"/>
        <item t="default"/>
      </items>
    </pivotField>
    <pivotField axis="axisRow" showAll="0">
      <items count="4">
        <item h="1" x="1"/>
        <item x="2"/>
        <item h="1" x="0"/>
        <item t="default"/>
      </items>
    </pivotField>
    <pivotField showAll="0">
      <items count="12">
        <item h="1" x="4"/>
        <item h="1" x="9"/>
        <item h="1" x="3"/>
        <item h="1" x="10"/>
        <item h="1" x="8"/>
        <item h="1" x="0"/>
        <item h="1" x="5"/>
        <item h="1" x="6"/>
        <item h="1" x="2"/>
        <item h="1" x="1"/>
        <item x="7"/>
        <item t="default"/>
      </items>
    </pivotField>
    <pivotField dataField="1" showAll="0">
      <items count="78">
        <item x="44"/>
        <item x="25"/>
        <item x="59"/>
        <item x="41"/>
        <item x="63"/>
        <item x="32"/>
        <item x="51"/>
        <item x="48"/>
        <item x="58"/>
        <item x="22"/>
        <item x="0"/>
        <item x="23"/>
        <item x="43"/>
        <item x="76"/>
        <item x="4"/>
        <item x="61"/>
        <item x="53"/>
        <item x="7"/>
        <item x="65"/>
        <item x="52"/>
        <item x="54"/>
        <item x="40"/>
        <item x="69"/>
        <item x="62"/>
        <item x="26"/>
        <item x="70"/>
        <item x="60"/>
        <item x="49"/>
        <item x="15"/>
        <item x="47"/>
        <item x="30"/>
        <item x="10"/>
        <item x="21"/>
        <item x="19"/>
        <item x="45"/>
        <item x="6"/>
        <item x="33"/>
        <item x="12"/>
        <item x="46"/>
        <item x="2"/>
        <item x="55"/>
        <item x="16"/>
        <item x="36"/>
        <item x="35"/>
        <item x="39"/>
        <item x="14"/>
        <item x="38"/>
        <item x="24"/>
        <item x="11"/>
        <item x="56"/>
        <item x="3"/>
        <item x="20"/>
        <item x="31"/>
        <item x="75"/>
        <item x="71"/>
        <item x="42"/>
        <item x="64"/>
        <item x="5"/>
        <item x="1"/>
        <item x="9"/>
        <item x="73"/>
        <item x="57"/>
        <item x="72"/>
        <item x="66"/>
        <item x="13"/>
        <item x="50"/>
        <item x="34"/>
        <item x="37"/>
        <item x="27"/>
        <item x="18"/>
        <item x="67"/>
        <item x="74"/>
        <item x="29"/>
        <item x="8"/>
        <item x="28"/>
        <item x="68"/>
        <item x="17"/>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
    <i>
      <x v="1"/>
    </i>
    <i t="grand">
      <x/>
    </i>
  </rowItems>
  <colItems count="1">
    <i/>
  </colItems>
  <dataFields count="1">
    <dataField name="Sum of Stock_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1BA692-F750-4B0A-AB96-7AE11749230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9">
    <pivotField showAll="0"/>
    <pivotField axis="axisRow" showAll="0">
      <items count="15">
        <item h="1" x="6"/>
        <item h="1" x="1"/>
        <item h="1" x="10"/>
        <item x="7"/>
        <item h="1" x="9"/>
        <item h="1" x="2"/>
        <item h="1" x="0"/>
        <item h="1" x="4"/>
        <item h="1" x="3"/>
        <item h="1" x="8"/>
        <item h="1" x="5"/>
        <item h="1" x="12"/>
        <item h="1" x="13"/>
        <item h="1" x="11"/>
        <item t="default"/>
      </items>
    </pivotField>
    <pivotField showAll="0">
      <items count="4">
        <item h="1" x="1"/>
        <item x="2"/>
        <item h="1" x="0"/>
        <item t="default"/>
      </items>
    </pivotField>
    <pivotField showAll="0">
      <items count="12">
        <item h="1" x="4"/>
        <item h="1" x="9"/>
        <item h="1" x="3"/>
        <item h="1" x="10"/>
        <item h="1" x="8"/>
        <item h="1" x="0"/>
        <item h="1" x="5"/>
        <item h="1" x="6"/>
        <item h="1" x="2"/>
        <item h="1" x="1"/>
        <item x="7"/>
        <item t="default"/>
      </items>
    </pivotField>
    <pivotField showAll="0"/>
    <pivotField showAll="0"/>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3"/>
    </i>
    <i t="grand">
      <x/>
    </i>
  </rowItems>
  <colItems count="1">
    <i/>
  </colItems>
  <dataFields count="1">
    <dataField name="Sum of Total_Valu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E63BDB-3F9F-4F49-9638-EB4938F6C1B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9">
    <pivotField showAll="0"/>
    <pivotField showAll="0">
      <items count="15">
        <item h="1" x="6"/>
        <item h="1" x="1"/>
        <item h="1" x="10"/>
        <item x="7"/>
        <item h="1" x="9"/>
        <item h="1" x="2"/>
        <item h="1" x="0"/>
        <item h="1" x="4"/>
        <item h="1" x="3"/>
        <item h="1" x="8"/>
        <item h="1" x="5"/>
        <item h="1" x="12"/>
        <item h="1" x="13"/>
        <item h="1" x="11"/>
        <item t="default"/>
      </items>
    </pivotField>
    <pivotField showAll="0">
      <items count="4">
        <item h="1" x="1"/>
        <item x="2"/>
        <item h="1" x="0"/>
        <item t="default"/>
      </items>
    </pivotField>
    <pivotField showAll="0">
      <items count="12">
        <item h="1" x="4"/>
        <item h="1" x="9"/>
        <item h="1" x="3"/>
        <item h="1" x="10"/>
        <item h="1" x="8"/>
        <item h="1" x="0"/>
        <item h="1" x="5"/>
        <item h="1" x="6"/>
        <item h="1" x="2"/>
        <item h="1" x="1"/>
        <item x="7"/>
        <item t="default"/>
      </items>
    </pivotField>
    <pivotField dataField="1"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8"/>
    <field x="7"/>
  </rowFields>
  <rowItems count="3">
    <i>
      <x v="7"/>
    </i>
    <i>
      <x v="9"/>
    </i>
    <i t="grand">
      <x/>
    </i>
  </rowItems>
  <colItems count="1">
    <i/>
  </colItems>
  <dataFields count="1">
    <dataField name="Sum of Stock_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E69CA4-E3E2-4CA2-9586-159C3666711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9">
    <pivotField showAll="0"/>
    <pivotField showAll="0">
      <items count="15">
        <item h="1" x="6"/>
        <item h="1" x="1"/>
        <item h="1" x="10"/>
        <item x="7"/>
        <item h="1" x="9"/>
        <item h="1" x="2"/>
        <item h="1" x="0"/>
        <item h="1" x="4"/>
        <item h="1" x="3"/>
        <item h="1" x="8"/>
        <item h="1" x="5"/>
        <item h="1" x="12"/>
        <item h="1" x="13"/>
        <item h="1" x="11"/>
        <item t="default"/>
      </items>
    </pivotField>
    <pivotField showAll="0">
      <items count="4">
        <item h="1" x="1"/>
        <item x="2"/>
        <item h="1" x="0"/>
        <item t="default"/>
      </items>
    </pivotField>
    <pivotField axis="axisRow" showAll="0">
      <items count="12">
        <item h="1" x="4"/>
        <item h="1" x="9"/>
        <item h="1" x="3"/>
        <item h="1" x="10"/>
        <item h="1" x="8"/>
        <item h="1" x="0"/>
        <item h="1" x="5"/>
        <item h="1" x="6"/>
        <item h="1" x="2"/>
        <item h="1" x="1"/>
        <item x="7"/>
        <item t="default"/>
      </items>
    </pivotField>
    <pivotField showAll="0"/>
    <pivotField dataField="1" showAll="0"/>
    <pivotField showAll="0"/>
    <pivotField numFmtId="14" showAll="0"/>
    <pivotField showAll="0" defaultSubtotal="0"/>
  </pivotFields>
  <rowFields count="1">
    <field x="3"/>
  </rowFields>
  <rowItems count="2">
    <i>
      <x v="10"/>
    </i>
    <i t="grand">
      <x/>
    </i>
  </rowItems>
  <colItems count="1">
    <i/>
  </colItems>
  <dataFields count="1">
    <dataField name="Sum of Unit_Price"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FF6C76-465F-432B-B282-EEEDCB8E61B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5" firstHeaderRow="1" firstDataRow="1" firstDataCol="1"/>
  <pivotFields count="9">
    <pivotField showAll="0"/>
    <pivotField showAll="0">
      <items count="15">
        <item h="1" x="6"/>
        <item h="1" x="1"/>
        <item h="1" x="10"/>
        <item x="7"/>
        <item h="1" x="9"/>
        <item h="1" x="2"/>
        <item h="1" x="0"/>
        <item h="1" x="4"/>
        <item h="1" x="3"/>
        <item h="1" x="8"/>
        <item h="1" x="5"/>
        <item h="1" x="12"/>
        <item h="1" x="13"/>
        <item h="1" x="11"/>
        <item t="default"/>
      </items>
    </pivotField>
    <pivotField axis="axisRow" showAll="0">
      <items count="4">
        <item h="1" x="1"/>
        <item x="2"/>
        <item h="1" x="0"/>
        <item t="default"/>
      </items>
    </pivotField>
    <pivotField showAll="0">
      <items count="12">
        <item h="1" x="4"/>
        <item h="1" x="9"/>
        <item h="1" x="3"/>
        <item h="1" x="10"/>
        <item h="1" x="8"/>
        <item h="1" x="0"/>
        <item h="1" x="5"/>
        <item h="1" x="6"/>
        <item h="1" x="2"/>
        <item h="1" x="1"/>
        <item x="7"/>
        <item t="default"/>
      </items>
    </pivotField>
    <pivotField showAll="0"/>
    <pivotField showAll="0"/>
    <pivotField dataField="1" showAll="0"/>
    <pivotField numFmtId="14" showAll="0"/>
    <pivotField showAll="0" defaultSubtotal="0"/>
  </pivotFields>
  <rowFields count="1">
    <field x="2"/>
  </rowFields>
  <rowItems count="2">
    <i>
      <x v="1"/>
    </i>
    <i t="grand">
      <x/>
    </i>
  </rowItems>
  <colItems count="1">
    <i/>
  </colItems>
  <dataFields count="1">
    <dataField name="Sum of Total_Value" fld="6"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3F0DBC8-D412-4FF2-8CD7-DB0DD0B01737}" sourceName="Product_Name">
  <pivotTables>
    <pivotTable tabId="3" name="PivotTable1"/>
    <pivotTable tabId="8" name="PivotTable2"/>
    <pivotTable tabId="9" name="PivotTable3"/>
    <pivotTable tabId="10" name="PivotTable1"/>
    <pivotTable tabId="11" name="PivotTable2"/>
  </pivotTables>
  <data>
    <tabular pivotCacheId="1656998969">
      <items count="14">
        <i x="7" s="1"/>
        <i x="9"/>
        <i x="4"/>
        <i x="13"/>
        <i x="6" nd="1"/>
        <i x="1" nd="1"/>
        <i x="10" nd="1"/>
        <i x="2" nd="1"/>
        <i x="0" nd="1"/>
        <i x="3" nd="1"/>
        <i x="8" nd="1"/>
        <i x="5" nd="1"/>
        <i x="12" nd="1"/>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017BA7-D60F-4881-9F0D-D5E9A3377B64}" sourceName="Category">
  <pivotTables>
    <pivotTable tabId="3" name="PivotTable1"/>
    <pivotTable tabId="8" name="PivotTable2"/>
    <pivotTable tabId="9" name="PivotTable3"/>
    <pivotTable tabId="10" name="PivotTable1"/>
    <pivotTable tabId="11" name="PivotTable2"/>
  </pivotTables>
  <data>
    <tabular pivotCacheId="1656998969">
      <items count="3">
        <i x="2" s="1"/>
        <i x="1"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BD588243-CD48-439A-BB09-A855CD2BF0F8}" sourceName="Size">
  <pivotTables>
    <pivotTable tabId="3" name="PivotTable1"/>
    <pivotTable tabId="8" name="PivotTable2"/>
    <pivotTable tabId="9" name="PivotTable3"/>
    <pivotTable tabId="10" name="PivotTable1"/>
    <pivotTable tabId="11" name="PivotTable2"/>
  </pivotTables>
  <data>
    <tabular pivotCacheId="1656998969">
      <items count="11">
        <i x="4"/>
        <i x="9"/>
        <i x="3"/>
        <i x="7" s="1"/>
        <i x="10" nd="1"/>
        <i x="8" nd="1"/>
        <i x="0" nd="1"/>
        <i x="5" nd="1"/>
        <i x="6" nd="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AA2EEB70-3777-4551-A46C-E4B0DF6F6FEC}" cache="Slicer_Product_Name" caption="Product_Name" rowHeight="241300"/>
  <slicer name="Category" xr10:uid="{08127740-F39D-4237-A39F-D5946423C01F}" cache="Slicer_Category" caption="Category" rowHeight="241300"/>
  <slicer name="Size" xr10:uid="{99126580-A72C-4B50-BB39-5DBC07C11DE8}" cache="Slicer_Size" caption="Siz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9E218-CC92-4506-9EFD-0D17D97A513F}">
  <dimension ref="A1:H101"/>
  <sheetViews>
    <sheetView workbookViewId="0">
      <selection activeCell="F8" sqref="A1:H101"/>
    </sheetView>
  </sheetViews>
  <sheetFormatPr defaultRowHeight="14.5" x14ac:dyDescent="0.35"/>
  <cols>
    <col min="2" max="2" width="18.36328125" bestFit="1" customWidth="1"/>
    <col min="3" max="3" width="10.36328125" bestFit="1" customWidth="1"/>
    <col min="4" max="4" width="4.453125" bestFit="1" customWidth="1"/>
    <col min="5" max="5" width="13.81640625" bestFit="1" customWidth="1"/>
    <col min="6" max="6" width="9.453125" bestFit="1" customWidth="1"/>
    <col min="7" max="7" width="10.81640625" bestFit="1" customWidth="1"/>
    <col min="8" max="8" width="17" bestFit="1" customWidth="1"/>
  </cols>
  <sheetData>
    <row r="1" spans="1:8" x14ac:dyDescent="0.35">
      <c r="A1" s="1" t="s">
        <v>0</v>
      </c>
      <c r="B1" s="1" t="s">
        <v>1</v>
      </c>
      <c r="C1" s="1" t="s">
        <v>2</v>
      </c>
      <c r="D1" s="1" t="s">
        <v>3</v>
      </c>
      <c r="E1" s="1" t="s">
        <v>4</v>
      </c>
      <c r="F1" s="1" t="s">
        <v>5</v>
      </c>
      <c r="G1" s="1" t="s">
        <v>6</v>
      </c>
      <c r="H1" s="1" t="s">
        <v>7</v>
      </c>
    </row>
    <row r="2" spans="1:8" x14ac:dyDescent="0.35">
      <c r="A2" t="s">
        <v>8</v>
      </c>
      <c r="B2" t="s">
        <v>108</v>
      </c>
      <c r="C2" t="s">
        <v>122</v>
      </c>
      <c r="D2" t="s">
        <v>125</v>
      </c>
      <c r="E2">
        <v>28</v>
      </c>
      <c r="F2">
        <v>3536</v>
      </c>
      <c r="G2">
        <v>99008</v>
      </c>
      <c r="H2" s="2">
        <v>45835</v>
      </c>
    </row>
    <row r="3" spans="1:8" x14ac:dyDescent="0.35">
      <c r="A3" t="s">
        <v>9</v>
      </c>
      <c r="B3" t="s">
        <v>109</v>
      </c>
      <c r="C3" t="s">
        <v>123</v>
      </c>
      <c r="D3" t="s">
        <v>126</v>
      </c>
      <c r="E3">
        <v>118</v>
      </c>
      <c r="F3">
        <v>4606</v>
      </c>
      <c r="G3">
        <v>543508</v>
      </c>
      <c r="H3" s="2">
        <v>45836</v>
      </c>
    </row>
    <row r="4" spans="1:8" x14ac:dyDescent="0.35">
      <c r="A4" t="s">
        <v>10</v>
      </c>
      <c r="B4" t="s">
        <v>110</v>
      </c>
      <c r="C4" t="s">
        <v>122</v>
      </c>
      <c r="D4" t="s">
        <v>125</v>
      </c>
      <c r="E4">
        <v>82</v>
      </c>
      <c r="F4">
        <v>1802</v>
      </c>
      <c r="G4">
        <v>147764</v>
      </c>
      <c r="H4" s="2">
        <v>45837</v>
      </c>
    </row>
    <row r="5" spans="1:8" x14ac:dyDescent="0.35">
      <c r="A5" t="s">
        <v>11</v>
      </c>
      <c r="B5" t="s">
        <v>110</v>
      </c>
      <c r="C5" t="s">
        <v>122</v>
      </c>
      <c r="D5" t="s">
        <v>127</v>
      </c>
      <c r="E5">
        <v>105</v>
      </c>
      <c r="F5">
        <v>1318</v>
      </c>
      <c r="G5">
        <v>138390</v>
      </c>
      <c r="H5" s="2">
        <v>45838</v>
      </c>
    </row>
    <row r="6" spans="1:8" x14ac:dyDescent="0.35">
      <c r="A6" t="s">
        <v>12</v>
      </c>
      <c r="B6" t="s">
        <v>111</v>
      </c>
      <c r="C6" t="s">
        <v>122</v>
      </c>
      <c r="D6" t="s">
        <v>125</v>
      </c>
      <c r="E6">
        <v>35</v>
      </c>
      <c r="F6">
        <v>3365</v>
      </c>
      <c r="G6">
        <v>117775</v>
      </c>
      <c r="H6" s="2">
        <v>45839</v>
      </c>
    </row>
    <row r="7" spans="1:8" x14ac:dyDescent="0.35">
      <c r="A7" t="s">
        <v>13</v>
      </c>
      <c r="B7" t="s">
        <v>112</v>
      </c>
      <c r="C7" t="s">
        <v>124</v>
      </c>
      <c r="D7" t="s">
        <v>128</v>
      </c>
      <c r="E7">
        <v>114</v>
      </c>
      <c r="F7">
        <v>4637</v>
      </c>
      <c r="G7">
        <v>528618</v>
      </c>
      <c r="H7" s="2">
        <v>45840</v>
      </c>
    </row>
    <row r="8" spans="1:8" x14ac:dyDescent="0.35">
      <c r="A8" t="s">
        <v>14</v>
      </c>
      <c r="B8" t="s">
        <v>113</v>
      </c>
      <c r="C8" t="s">
        <v>123</v>
      </c>
      <c r="D8" t="s">
        <v>126</v>
      </c>
      <c r="E8">
        <v>75</v>
      </c>
      <c r="F8">
        <v>4638</v>
      </c>
      <c r="G8">
        <v>347850</v>
      </c>
      <c r="H8" s="2">
        <v>45841</v>
      </c>
    </row>
    <row r="9" spans="1:8" x14ac:dyDescent="0.35">
      <c r="A9" t="s">
        <v>15</v>
      </c>
      <c r="B9" t="s">
        <v>114</v>
      </c>
      <c r="C9" t="s">
        <v>123</v>
      </c>
      <c r="D9" t="s">
        <v>126</v>
      </c>
      <c r="E9">
        <v>40</v>
      </c>
      <c r="F9">
        <v>3289</v>
      </c>
      <c r="G9">
        <v>131560</v>
      </c>
      <c r="H9" s="2">
        <v>45842</v>
      </c>
    </row>
    <row r="10" spans="1:8" x14ac:dyDescent="0.35">
      <c r="A10" t="s">
        <v>16</v>
      </c>
      <c r="B10" t="s">
        <v>112</v>
      </c>
      <c r="C10" t="s">
        <v>124</v>
      </c>
      <c r="D10" t="s">
        <v>129</v>
      </c>
      <c r="E10">
        <v>146</v>
      </c>
      <c r="F10">
        <v>680</v>
      </c>
      <c r="G10">
        <v>99280</v>
      </c>
      <c r="H10" s="2">
        <v>45843</v>
      </c>
    </row>
    <row r="11" spans="1:8" x14ac:dyDescent="0.35">
      <c r="A11" t="s">
        <v>17</v>
      </c>
      <c r="B11" t="s">
        <v>111</v>
      </c>
      <c r="C11" t="s">
        <v>122</v>
      </c>
      <c r="D11" t="s">
        <v>130</v>
      </c>
      <c r="E11">
        <v>120</v>
      </c>
      <c r="F11">
        <v>2824</v>
      </c>
      <c r="G11">
        <v>338880</v>
      </c>
      <c r="H11" s="2">
        <v>45844</v>
      </c>
    </row>
    <row r="12" spans="1:8" x14ac:dyDescent="0.35">
      <c r="A12" t="s">
        <v>18</v>
      </c>
      <c r="B12" t="s">
        <v>114</v>
      </c>
      <c r="C12" t="s">
        <v>123</v>
      </c>
      <c r="D12" t="s">
        <v>126</v>
      </c>
      <c r="E12">
        <v>65</v>
      </c>
      <c r="F12">
        <v>1239</v>
      </c>
      <c r="G12">
        <v>80535</v>
      </c>
      <c r="H12" s="2">
        <v>45845</v>
      </c>
    </row>
    <row r="13" spans="1:8" x14ac:dyDescent="0.35">
      <c r="A13" t="s">
        <v>19</v>
      </c>
      <c r="B13" t="s">
        <v>110</v>
      </c>
      <c r="C13" t="s">
        <v>122</v>
      </c>
      <c r="D13" t="s">
        <v>131</v>
      </c>
      <c r="E13">
        <v>102</v>
      </c>
      <c r="F13">
        <v>4223</v>
      </c>
      <c r="G13">
        <v>430746</v>
      </c>
      <c r="H13" s="2">
        <v>45846</v>
      </c>
    </row>
    <row r="14" spans="1:8" x14ac:dyDescent="0.35">
      <c r="A14" t="s">
        <v>20</v>
      </c>
      <c r="B14" t="s">
        <v>110</v>
      </c>
      <c r="C14" t="s">
        <v>122</v>
      </c>
      <c r="D14" t="s">
        <v>131</v>
      </c>
      <c r="E14">
        <v>77</v>
      </c>
      <c r="F14">
        <v>1273</v>
      </c>
      <c r="G14">
        <v>98021</v>
      </c>
      <c r="H14" s="2">
        <v>45847</v>
      </c>
    </row>
    <row r="15" spans="1:8" x14ac:dyDescent="0.35">
      <c r="A15" t="s">
        <v>21</v>
      </c>
      <c r="B15" t="s">
        <v>113</v>
      </c>
      <c r="C15" t="s">
        <v>123</v>
      </c>
      <c r="D15" t="s">
        <v>126</v>
      </c>
      <c r="E15">
        <v>126</v>
      </c>
      <c r="F15">
        <v>3550</v>
      </c>
      <c r="G15">
        <v>447300</v>
      </c>
      <c r="H15" s="2">
        <v>45848</v>
      </c>
    </row>
    <row r="16" spans="1:8" x14ac:dyDescent="0.35">
      <c r="A16" t="s">
        <v>22</v>
      </c>
      <c r="B16" t="s">
        <v>115</v>
      </c>
      <c r="C16" t="s">
        <v>124</v>
      </c>
      <c r="D16" t="s">
        <v>132</v>
      </c>
      <c r="E16">
        <v>94</v>
      </c>
      <c r="F16">
        <v>4394</v>
      </c>
      <c r="G16">
        <v>413036</v>
      </c>
      <c r="H16" s="2">
        <v>45849</v>
      </c>
    </row>
    <row r="17" spans="1:8" x14ac:dyDescent="0.35">
      <c r="A17" t="s">
        <v>23</v>
      </c>
      <c r="B17" t="s">
        <v>109</v>
      </c>
      <c r="C17" t="s">
        <v>123</v>
      </c>
      <c r="D17" t="s">
        <v>126</v>
      </c>
      <c r="E17">
        <v>58</v>
      </c>
      <c r="F17">
        <v>1884</v>
      </c>
      <c r="G17">
        <v>109272</v>
      </c>
      <c r="H17" s="2">
        <v>45850</v>
      </c>
    </row>
    <row r="18" spans="1:8" x14ac:dyDescent="0.35">
      <c r="A18" t="s">
        <v>24</v>
      </c>
      <c r="B18" t="s">
        <v>111</v>
      </c>
      <c r="C18" t="s">
        <v>122</v>
      </c>
      <c r="D18" t="s">
        <v>130</v>
      </c>
      <c r="E18">
        <v>86</v>
      </c>
      <c r="F18">
        <v>1928</v>
      </c>
      <c r="G18">
        <v>165808</v>
      </c>
      <c r="H18" s="2">
        <v>45851</v>
      </c>
    </row>
    <row r="19" spans="1:8" x14ac:dyDescent="0.35">
      <c r="A19" t="s">
        <v>25</v>
      </c>
      <c r="B19" t="s">
        <v>113</v>
      </c>
      <c r="C19" t="s">
        <v>123</v>
      </c>
      <c r="D19" t="s">
        <v>126</v>
      </c>
      <c r="E19">
        <v>149</v>
      </c>
      <c r="F19">
        <v>4440</v>
      </c>
      <c r="G19">
        <v>661560</v>
      </c>
      <c r="H19" s="2">
        <v>45852</v>
      </c>
    </row>
    <row r="20" spans="1:8" x14ac:dyDescent="0.35">
      <c r="A20" t="s">
        <v>26</v>
      </c>
      <c r="B20" t="s">
        <v>115</v>
      </c>
      <c r="C20" t="s">
        <v>124</v>
      </c>
      <c r="D20" t="s">
        <v>132</v>
      </c>
      <c r="E20">
        <v>136</v>
      </c>
      <c r="F20">
        <v>4037</v>
      </c>
      <c r="G20">
        <v>549032</v>
      </c>
      <c r="H20" s="2">
        <v>45853</v>
      </c>
    </row>
    <row r="21" spans="1:8" x14ac:dyDescent="0.35">
      <c r="A21" t="s">
        <v>27</v>
      </c>
      <c r="B21" t="s">
        <v>116</v>
      </c>
      <c r="C21" t="s">
        <v>122</v>
      </c>
      <c r="D21" t="s">
        <v>131</v>
      </c>
      <c r="E21">
        <v>73</v>
      </c>
      <c r="F21">
        <v>3434</v>
      </c>
      <c r="G21">
        <v>250682</v>
      </c>
      <c r="H21" s="2">
        <v>45854</v>
      </c>
    </row>
    <row r="22" spans="1:8" x14ac:dyDescent="0.35">
      <c r="A22" t="s">
        <v>28</v>
      </c>
      <c r="B22" t="s">
        <v>116</v>
      </c>
      <c r="C22" t="s">
        <v>122</v>
      </c>
      <c r="D22" t="s">
        <v>133</v>
      </c>
      <c r="E22">
        <v>106</v>
      </c>
      <c r="F22">
        <v>4651</v>
      </c>
      <c r="G22">
        <v>493006</v>
      </c>
      <c r="H22" s="2">
        <v>45855</v>
      </c>
    </row>
    <row r="23" spans="1:8" x14ac:dyDescent="0.35">
      <c r="A23" t="s">
        <v>29</v>
      </c>
      <c r="B23" t="s">
        <v>112</v>
      </c>
      <c r="C23" t="s">
        <v>124</v>
      </c>
      <c r="D23" t="s">
        <v>128</v>
      </c>
      <c r="E23">
        <v>69</v>
      </c>
      <c r="F23">
        <v>3354</v>
      </c>
      <c r="G23">
        <v>231426</v>
      </c>
      <c r="H23" s="2">
        <v>45856</v>
      </c>
    </row>
    <row r="24" spans="1:8" x14ac:dyDescent="0.35">
      <c r="A24" t="s">
        <v>30</v>
      </c>
      <c r="B24" t="s">
        <v>117</v>
      </c>
      <c r="C24" t="s">
        <v>124</v>
      </c>
      <c r="D24" t="s">
        <v>129</v>
      </c>
      <c r="E24">
        <v>26</v>
      </c>
      <c r="F24">
        <v>2842</v>
      </c>
      <c r="G24">
        <v>73892</v>
      </c>
      <c r="H24" s="2">
        <v>45857</v>
      </c>
    </row>
    <row r="25" spans="1:8" x14ac:dyDescent="0.35">
      <c r="A25" t="s">
        <v>31</v>
      </c>
      <c r="B25" t="s">
        <v>114</v>
      </c>
      <c r="C25" t="s">
        <v>123</v>
      </c>
      <c r="D25" t="s">
        <v>126</v>
      </c>
      <c r="E25">
        <v>77</v>
      </c>
      <c r="F25">
        <v>3205</v>
      </c>
      <c r="G25">
        <v>246785</v>
      </c>
      <c r="H25" s="2">
        <v>45858</v>
      </c>
    </row>
    <row r="26" spans="1:8" x14ac:dyDescent="0.35">
      <c r="A26" t="s">
        <v>32</v>
      </c>
      <c r="B26" t="s">
        <v>117</v>
      </c>
      <c r="C26" t="s">
        <v>124</v>
      </c>
      <c r="D26" t="s">
        <v>134</v>
      </c>
      <c r="E26">
        <v>29</v>
      </c>
      <c r="F26">
        <v>3435</v>
      </c>
      <c r="G26">
        <v>99615</v>
      </c>
      <c r="H26" s="2">
        <v>45859</v>
      </c>
    </row>
    <row r="27" spans="1:8" x14ac:dyDescent="0.35">
      <c r="A27" t="s">
        <v>33</v>
      </c>
      <c r="B27" t="s">
        <v>112</v>
      </c>
      <c r="C27" t="s">
        <v>124</v>
      </c>
      <c r="D27" t="s">
        <v>128</v>
      </c>
      <c r="E27">
        <v>100</v>
      </c>
      <c r="F27">
        <v>2656</v>
      </c>
      <c r="G27">
        <v>265600</v>
      </c>
      <c r="H27" s="2">
        <v>45860</v>
      </c>
    </row>
    <row r="28" spans="1:8" x14ac:dyDescent="0.35">
      <c r="A28" t="s">
        <v>34</v>
      </c>
      <c r="B28" t="s">
        <v>113</v>
      </c>
      <c r="C28" t="s">
        <v>123</v>
      </c>
      <c r="D28" t="s">
        <v>126</v>
      </c>
      <c r="E28">
        <v>12</v>
      </c>
      <c r="F28">
        <v>4235</v>
      </c>
      <c r="G28">
        <v>50820</v>
      </c>
      <c r="H28" s="2">
        <v>45861</v>
      </c>
    </row>
    <row r="29" spans="1:8" x14ac:dyDescent="0.35">
      <c r="A29" t="s">
        <v>35</v>
      </c>
      <c r="B29" t="s">
        <v>113</v>
      </c>
      <c r="C29" t="s">
        <v>123</v>
      </c>
      <c r="D29" t="s">
        <v>126</v>
      </c>
      <c r="E29">
        <v>49</v>
      </c>
      <c r="F29">
        <v>2144</v>
      </c>
      <c r="G29">
        <v>105056</v>
      </c>
      <c r="H29" s="2">
        <v>45862</v>
      </c>
    </row>
    <row r="30" spans="1:8" x14ac:dyDescent="0.35">
      <c r="A30" t="s">
        <v>36</v>
      </c>
      <c r="B30" t="s">
        <v>111</v>
      </c>
      <c r="C30" t="s">
        <v>122</v>
      </c>
      <c r="D30" t="s">
        <v>135</v>
      </c>
      <c r="E30">
        <v>134</v>
      </c>
      <c r="F30">
        <v>3025</v>
      </c>
      <c r="G30">
        <v>405350</v>
      </c>
      <c r="H30" s="2">
        <v>45863</v>
      </c>
    </row>
    <row r="31" spans="1:8" x14ac:dyDescent="0.35">
      <c r="A31" t="s">
        <v>37</v>
      </c>
      <c r="B31" t="s">
        <v>114</v>
      </c>
      <c r="C31" t="s">
        <v>123</v>
      </c>
      <c r="D31" t="s">
        <v>126</v>
      </c>
      <c r="E31">
        <v>147</v>
      </c>
      <c r="F31">
        <v>3132</v>
      </c>
      <c r="G31">
        <v>460404</v>
      </c>
      <c r="H31" s="2">
        <v>45864</v>
      </c>
    </row>
    <row r="32" spans="1:8" x14ac:dyDescent="0.35">
      <c r="A32" t="s">
        <v>38</v>
      </c>
      <c r="B32" t="s">
        <v>108</v>
      </c>
      <c r="C32" t="s">
        <v>122</v>
      </c>
      <c r="D32" t="s">
        <v>130</v>
      </c>
      <c r="E32">
        <v>86</v>
      </c>
      <c r="F32">
        <v>4864</v>
      </c>
      <c r="G32">
        <v>418304</v>
      </c>
      <c r="H32" s="2">
        <v>45865</v>
      </c>
    </row>
    <row r="33" spans="1:8" x14ac:dyDescent="0.35">
      <c r="A33" t="s">
        <v>39</v>
      </c>
      <c r="B33" t="s">
        <v>115</v>
      </c>
      <c r="C33" t="s">
        <v>124</v>
      </c>
      <c r="D33" t="s">
        <v>132</v>
      </c>
      <c r="E33">
        <v>145</v>
      </c>
      <c r="F33">
        <v>2512</v>
      </c>
      <c r="G33">
        <v>364240</v>
      </c>
      <c r="H33" s="2">
        <v>45866</v>
      </c>
    </row>
    <row r="34" spans="1:8" x14ac:dyDescent="0.35">
      <c r="A34" t="s">
        <v>40</v>
      </c>
      <c r="B34" t="s">
        <v>117</v>
      </c>
      <c r="C34" t="s">
        <v>124</v>
      </c>
      <c r="D34" t="s">
        <v>132</v>
      </c>
      <c r="E34">
        <v>63</v>
      </c>
      <c r="F34">
        <v>710</v>
      </c>
      <c r="G34">
        <v>44730</v>
      </c>
      <c r="H34" s="2">
        <v>45867</v>
      </c>
    </row>
    <row r="35" spans="1:8" x14ac:dyDescent="0.35">
      <c r="A35" t="s">
        <v>41</v>
      </c>
      <c r="B35" t="s">
        <v>114</v>
      </c>
      <c r="C35" t="s">
        <v>123</v>
      </c>
      <c r="D35" t="s">
        <v>126</v>
      </c>
      <c r="E35">
        <v>107</v>
      </c>
      <c r="F35">
        <v>536</v>
      </c>
      <c r="G35">
        <v>57352</v>
      </c>
      <c r="H35" s="2">
        <v>45868</v>
      </c>
    </row>
    <row r="36" spans="1:8" x14ac:dyDescent="0.35">
      <c r="A36" t="s">
        <v>42</v>
      </c>
      <c r="B36" t="s">
        <v>116</v>
      </c>
      <c r="C36" t="s">
        <v>122</v>
      </c>
      <c r="D36" t="s">
        <v>130</v>
      </c>
      <c r="E36">
        <v>21</v>
      </c>
      <c r="F36">
        <v>3706</v>
      </c>
      <c r="G36">
        <v>77826</v>
      </c>
      <c r="H36" s="2">
        <v>45869</v>
      </c>
    </row>
    <row r="37" spans="1:8" x14ac:dyDescent="0.35">
      <c r="A37" t="s">
        <v>43</v>
      </c>
      <c r="B37" t="s">
        <v>113</v>
      </c>
      <c r="C37" t="s">
        <v>123</v>
      </c>
      <c r="D37" t="s">
        <v>126</v>
      </c>
      <c r="E37">
        <v>126</v>
      </c>
      <c r="F37">
        <v>3815</v>
      </c>
      <c r="G37">
        <v>480690</v>
      </c>
      <c r="H37" s="2">
        <v>45870</v>
      </c>
    </row>
    <row r="38" spans="1:8" x14ac:dyDescent="0.35">
      <c r="A38" t="s">
        <v>44</v>
      </c>
      <c r="B38" t="s">
        <v>109</v>
      </c>
      <c r="C38" t="s">
        <v>123</v>
      </c>
      <c r="D38" t="s">
        <v>126</v>
      </c>
      <c r="E38">
        <v>76</v>
      </c>
      <c r="F38">
        <v>1622</v>
      </c>
      <c r="G38">
        <v>123272</v>
      </c>
      <c r="H38" s="2">
        <v>45871</v>
      </c>
    </row>
    <row r="39" spans="1:8" x14ac:dyDescent="0.35">
      <c r="A39" t="s">
        <v>45</v>
      </c>
      <c r="B39" t="s">
        <v>112</v>
      </c>
      <c r="C39" t="s">
        <v>124</v>
      </c>
      <c r="D39" t="s">
        <v>134</v>
      </c>
      <c r="E39">
        <v>129</v>
      </c>
      <c r="F39">
        <v>2974</v>
      </c>
      <c r="G39">
        <v>383646</v>
      </c>
      <c r="H39" s="2">
        <v>45872</v>
      </c>
    </row>
    <row r="40" spans="1:8" x14ac:dyDescent="0.35">
      <c r="A40" t="s">
        <v>46</v>
      </c>
      <c r="B40" t="s">
        <v>116</v>
      </c>
      <c r="C40" t="s">
        <v>122</v>
      </c>
      <c r="D40" t="s">
        <v>135</v>
      </c>
      <c r="E40">
        <v>89</v>
      </c>
      <c r="F40">
        <v>1989</v>
      </c>
      <c r="G40">
        <v>177021</v>
      </c>
      <c r="H40" s="2">
        <v>45873</v>
      </c>
    </row>
    <row r="41" spans="1:8" x14ac:dyDescent="0.35">
      <c r="A41" t="s">
        <v>47</v>
      </c>
      <c r="B41" t="s">
        <v>115</v>
      </c>
      <c r="C41" t="s">
        <v>124</v>
      </c>
      <c r="D41" t="s">
        <v>134</v>
      </c>
      <c r="E41">
        <v>129</v>
      </c>
      <c r="F41">
        <v>3163</v>
      </c>
      <c r="G41">
        <v>408027</v>
      </c>
      <c r="H41" s="2">
        <v>45874</v>
      </c>
    </row>
    <row r="42" spans="1:8" x14ac:dyDescent="0.35">
      <c r="A42" t="s">
        <v>48</v>
      </c>
      <c r="B42" t="s">
        <v>118</v>
      </c>
      <c r="C42" t="s">
        <v>123</v>
      </c>
      <c r="D42" t="s">
        <v>126</v>
      </c>
      <c r="E42">
        <v>63</v>
      </c>
      <c r="F42">
        <v>1216</v>
      </c>
      <c r="G42">
        <v>76608</v>
      </c>
      <c r="H42" s="2">
        <v>45875</v>
      </c>
    </row>
    <row r="43" spans="1:8" x14ac:dyDescent="0.35">
      <c r="A43" t="s">
        <v>49</v>
      </c>
      <c r="B43" t="s">
        <v>119</v>
      </c>
      <c r="C43" t="s">
        <v>123</v>
      </c>
      <c r="D43" t="s">
        <v>126</v>
      </c>
      <c r="E43">
        <v>88</v>
      </c>
      <c r="F43">
        <v>4776</v>
      </c>
      <c r="G43">
        <v>420288</v>
      </c>
      <c r="H43" s="2">
        <v>45876</v>
      </c>
    </row>
    <row r="44" spans="1:8" x14ac:dyDescent="0.35">
      <c r="A44" t="s">
        <v>50</v>
      </c>
      <c r="B44" t="s">
        <v>120</v>
      </c>
      <c r="C44" t="s">
        <v>124</v>
      </c>
      <c r="D44" t="s">
        <v>129</v>
      </c>
      <c r="E44">
        <v>131</v>
      </c>
      <c r="F44">
        <v>4585</v>
      </c>
      <c r="G44">
        <v>600635</v>
      </c>
      <c r="H44" s="2">
        <v>45877</v>
      </c>
    </row>
    <row r="45" spans="1:8" x14ac:dyDescent="0.35">
      <c r="A45" t="s">
        <v>51</v>
      </c>
      <c r="B45" t="s">
        <v>121</v>
      </c>
      <c r="C45" t="s">
        <v>124</v>
      </c>
      <c r="D45" t="s">
        <v>132</v>
      </c>
      <c r="E45">
        <v>95</v>
      </c>
      <c r="F45">
        <v>2743</v>
      </c>
      <c r="G45">
        <v>260585</v>
      </c>
      <c r="H45" s="2">
        <v>45878</v>
      </c>
    </row>
    <row r="46" spans="1:8" x14ac:dyDescent="0.35">
      <c r="A46" t="s">
        <v>52</v>
      </c>
      <c r="B46" t="s">
        <v>113</v>
      </c>
      <c r="C46" t="s">
        <v>123</v>
      </c>
      <c r="D46" t="s">
        <v>126</v>
      </c>
      <c r="E46">
        <v>90</v>
      </c>
      <c r="F46">
        <v>2754</v>
      </c>
      <c r="G46">
        <v>247860</v>
      </c>
      <c r="H46" s="2">
        <v>45879</v>
      </c>
    </row>
    <row r="47" spans="1:8" x14ac:dyDescent="0.35">
      <c r="A47" t="s">
        <v>53</v>
      </c>
      <c r="B47" t="s">
        <v>108</v>
      </c>
      <c r="C47" t="s">
        <v>122</v>
      </c>
      <c r="D47" t="s">
        <v>127</v>
      </c>
      <c r="E47">
        <v>88</v>
      </c>
      <c r="F47">
        <v>3827</v>
      </c>
      <c r="G47">
        <v>336776</v>
      </c>
      <c r="H47" s="2">
        <v>45880</v>
      </c>
    </row>
    <row r="48" spans="1:8" x14ac:dyDescent="0.35">
      <c r="A48" t="s">
        <v>54</v>
      </c>
      <c r="B48" t="s">
        <v>120</v>
      </c>
      <c r="C48" t="s">
        <v>124</v>
      </c>
      <c r="D48" t="s">
        <v>129</v>
      </c>
      <c r="E48">
        <v>45</v>
      </c>
      <c r="F48">
        <v>4848</v>
      </c>
      <c r="G48">
        <v>218160</v>
      </c>
      <c r="H48" s="2">
        <v>45881</v>
      </c>
    </row>
    <row r="49" spans="1:8" x14ac:dyDescent="0.35">
      <c r="A49" t="s">
        <v>55</v>
      </c>
      <c r="B49" t="s">
        <v>109</v>
      </c>
      <c r="C49" t="s">
        <v>123</v>
      </c>
      <c r="D49" t="s">
        <v>126</v>
      </c>
      <c r="E49">
        <v>14</v>
      </c>
      <c r="F49">
        <v>3852</v>
      </c>
      <c r="G49">
        <v>53928</v>
      </c>
      <c r="H49" s="2">
        <v>45882</v>
      </c>
    </row>
    <row r="50" spans="1:8" x14ac:dyDescent="0.35">
      <c r="A50" t="s">
        <v>56</v>
      </c>
      <c r="B50" t="s">
        <v>118</v>
      </c>
      <c r="C50" t="s">
        <v>123</v>
      </c>
      <c r="D50" t="s">
        <v>126</v>
      </c>
      <c r="E50">
        <v>94</v>
      </c>
      <c r="F50">
        <v>662</v>
      </c>
      <c r="G50">
        <v>62228</v>
      </c>
      <c r="H50" s="2">
        <v>45883</v>
      </c>
    </row>
    <row r="51" spans="1:8" x14ac:dyDescent="0.35">
      <c r="A51" t="s">
        <v>57</v>
      </c>
      <c r="B51" t="s">
        <v>108</v>
      </c>
      <c r="C51" t="s">
        <v>122</v>
      </c>
      <c r="D51" t="s">
        <v>130</v>
      </c>
      <c r="E51">
        <v>112</v>
      </c>
      <c r="F51">
        <v>3697</v>
      </c>
      <c r="G51">
        <v>414064</v>
      </c>
      <c r="H51" s="2">
        <v>45884</v>
      </c>
    </row>
    <row r="52" spans="1:8" x14ac:dyDescent="0.35">
      <c r="A52" t="s">
        <v>58</v>
      </c>
      <c r="B52" t="s">
        <v>108</v>
      </c>
      <c r="C52" t="s">
        <v>122</v>
      </c>
      <c r="D52" t="s">
        <v>130</v>
      </c>
      <c r="E52">
        <v>21</v>
      </c>
      <c r="F52">
        <v>2351</v>
      </c>
      <c r="G52">
        <v>49371</v>
      </c>
      <c r="H52" s="2">
        <v>45885</v>
      </c>
    </row>
    <row r="53" spans="1:8" x14ac:dyDescent="0.35">
      <c r="A53" t="s">
        <v>59</v>
      </c>
      <c r="B53" t="s">
        <v>108</v>
      </c>
      <c r="C53" t="s">
        <v>122</v>
      </c>
      <c r="D53" t="s">
        <v>135</v>
      </c>
      <c r="E53">
        <v>31</v>
      </c>
      <c r="F53">
        <v>4250</v>
      </c>
      <c r="G53">
        <v>131750</v>
      </c>
      <c r="H53" s="2">
        <v>45886</v>
      </c>
    </row>
    <row r="54" spans="1:8" x14ac:dyDescent="0.35">
      <c r="A54" t="s">
        <v>60</v>
      </c>
      <c r="B54" t="s">
        <v>111</v>
      </c>
      <c r="C54" t="s">
        <v>122</v>
      </c>
      <c r="D54" t="s">
        <v>127</v>
      </c>
      <c r="E54">
        <v>10</v>
      </c>
      <c r="F54">
        <v>3209</v>
      </c>
      <c r="G54">
        <v>32090</v>
      </c>
      <c r="H54" s="2">
        <v>45887</v>
      </c>
    </row>
    <row r="55" spans="1:8" x14ac:dyDescent="0.35">
      <c r="A55" t="s">
        <v>61</v>
      </c>
      <c r="B55" t="s">
        <v>113</v>
      </c>
      <c r="C55" t="s">
        <v>123</v>
      </c>
      <c r="D55" t="s">
        <v>126</v>
      </c>
      <c r="E55">
        <v>74</v>
      </c>
      <c r="F55">
        <v>2742</v>
      </c>
      <c r="G55">
        <v>202908</v>
      </c>
      <c r="H55" s="2">
        <v>45888</v>
      </c>
    </row>
    <row r="56" spans="1:8" x14ac:dyDescent="0.35">
      <c r="A56" t="s">
        <v>62</v>
      </c>
      <c r="B56" t="s">
        <v>109</v>
      </c>
      <c r="C56" t="s">
        <v>123</v>
      </c>
      <c r="D56" t="s">
        <v>126</v>
      </c>
      <c r="E56">
        <v>146</v>
      </c>
      <c r="F56">
        <v>3394</v>
      </c>
      <c r="G56">
        <v>495524</v>
      </c>
      <c r="H56" s="2">
        <v>45889</v>
      </c>
    </row>
    <row r="57" spans="1:8" x14ac:dyDescent="0.35">
      <c r="A57" t="s">
        <v>63</v>
      </c>
      <c r="B57" t="s">
        <v>116</v>
      </c>
      <c r="C57" t="s">
        <v>122</v>
      </c>
      <c r="D57" t="s">
        <v>130</v>
      </c>
      <c r="E57">
        <v>81</v>
      </c>
      <c r="F57">
        <v>1675</v>
      </c>
      <c r="G57">
        <v>135675</v>
      </c>
      <c r="H57" s="2">
        <v>45890</v>
      </c>
    </row>
    <row r="58" spans="1:8" x14ac:dyDescent="0.35">
      <c r="A58" t="s">
        <v>64</v>
      </c>
      <c r="B58" t="s">
        <v>118</v>
      </c>
      <c r="C58" t="s">
        <v>123</v>
      </c>
      <c r="D58" t="s">
        <v>126</v>
      </c>
      <c r="E58">
        <v>29</v>
      </c>
      <c r="F58">
        <v>2863</v>
      </c>
      <c r="G58">
        <v>83027</v>
      </c>
      <c r="H58" s="2">
        <v>45891</v>
      </c>
    </row>
    <row r="59" spans="1:8" x14ac:dyDescent="0.35">
      <c r="A59" t="s">
        <v>65</v>
      </c>
      <c r="B59" t="s">
        <v>108</v>
      </c>
      <c r="C59" t="s">
        <v>122</v>
      </c>
      <c r="D59" t="s">
        <v>125</v>
      </c>
      <c r="E59">
        <v>62</v>
      </c>
      <c r="F59">
        <v>1330</v>
      </c>
      <c r="G59">
        <v>82460</v>
      </c>
      <c r="H59" s="2">
        <v>45892</v>
      </c>
    </row>
    <row r="60" spans="1:8" x14ac:dyDescent="0.35">
      <c r="A60" t="s">
        <v>66</v>
      </c>
      <c r="B60" t="s">
        <v>110</v>
      </c>
      <c r="C60" t="s">
        <v>122</v>
      </c>
      <c r="D60" t="s">
        <v>135</v>
      </c>
      <c r="E60">
        <v>82</v>
      </c>
      <c r="F60">
        <v>2645</v>
      </c>
      <c r="G60">
        <v>216890</v>
      </c>
      <c r="H60" s="2">
        <v>45893</v>
      </c>
    </row>
    <row r="61" spans="1:8" x14ac:dyDescent="0.35">
      <c r="A61" t="s">
        <v>67</v>
      </c>
      <c r="B61" t="s">
        <v>108</v>
      </c>
      <c r="C61" t="s">
        <v>122</v>
      </c>
      <c r="D61" t="s">
        <v>131</v>
      </c>
      <c r="E61">
        <v>24</v>
      </c>
      <c r="F61">
        <v>3256</v>
      </c>
      <c r="G61">
        <v>78144</v>
      </c>
      <c r="H61" s="2">
        <v>45894</v>
      </c>
    </row>
    <row r="62" spans="1:8" x14ac:dyDescent="0.35">
      <c r="A62" t="s">
        <v>68</v>
      </c>
      <c r="B62" t="s">
        <v>116</v>
      </c>
      <c r="C62" t="s">
        <v>122</v>
      </c>
      <c r="D62" t="s">
        <v>133</v>
      </c>
      <c r="E62">
        <v>57</v>
      </c>
      <c r="F62">
        <v>3881</v>
      </c>
      <c r="G62">
        <v>221217</v>
      </c>
      <c r="H62" s="2">
        <v>45895</v>
      </c>
    </row>
    <row r="63" spans="1:8" x14ac:dyDescent="0.35">
      <c r="A63" t="s">
        <v>69</v>
      </c>
      <c r="B63" t="s">
        <v>118</v>
      </c>
      <c r="C63" t="s">
        <v>123</v>
      </c>
      <c r="D63" t="s">
        <v>126</v>
      </c>
      <c r="E63">
        <v>75</v>
      </c>
      <c r="F63">
        <v>4220</v>
      </c>
      <c r="G63">
        <v>316500</v>
      </c>
      <c r="H63" s="2">
        <v>45896</v>
      </c>
    </row>
    <row r="64" spans="1:8" x14ac:dyDescent="0.35">
      <c r="A64" t="s">
        <v>70</v>
      </c>
      <c r="B64" t="s">
        <v>115</v>
      </c>
      <c r="C64" t="s">
        <v>124</v>
      </c>
      <c r="D64" t="s">
        <v>129</v>
      </c>
      <c r="E64">
        <v>128</v>
      </c>
      <c r="F64">
        <v>4148</v>
      </c>
      <c r="G64">
        <v>530944</v>
      </c>
      <c r="H64" s="2">
        <v>45897</v>
      </c>
    </row>
    <row r="65" spans="1:8" x14ac:dyDescent="0.35">
      <c r="A65" t="s">
        <v>71</v>
      </c>
      <c r="B65" t="s">
        <v>111</v>
      </c>
      <c r="C65" t="s">
        <v>122</v>
      </c>
      <c r="D65" t="s">
        <v>131</v>
      </c>
      <c r="E65">
        <v>22</v>
      </c>
      <c r="F65">
        <v>3920</v>
      </c>
      <c r="G65">
        <v>86240</v>
      </c>
      <c r="H65" s="2">
        <v>45898</v>
      </c>
    </row>
    <row r="66" spans="1:8" x14ac:dyDescent="0.35">
      <c r="A66" t="s">
        <v>72</v>
      </c>
      <c r="B66" t="s">
        <v>109</v>
      </c>
      <c r="C66" t="s">
        <v>123</v>
      </c>
      <c r="D66" t="s">
        <v>126</v>
      </c>
      <c r="E66">
        <v>43</v>
      </c>
      <c r="F66">
        <v>4972</v>
      </c>
      <c r="G66">
        <v>213796</v>
      </c>
      <c r="H66" s="2">
        <v>45899</v>
      </c>
    </row>
    <row r="67" spans="1:8" x14ac:dyDescent="0.35">
      <c r="A67" t="s">
        <v>73</v>
      </c>
      <c r="B67" t="s">
        <v>120</v>
      </c>
      <c r="C67" t="s">
        <v>124</v>
      </c>
      <c r="D67" t="s">
        <v>129</v>
      </c>
      <c r="E67">
        <v>39</v>
      </c>
      <c r="F67">
        <v>1130</v>
      </c>
      <c r="G67">
        <v>44070</v>
      </c>
      <c r="H67" s="2">
        <v>45900</v>
      </c>
    </row>
    <row r="68" spans="1:8" x14ac:dyDescent="0.35">
      <c r="A68" t="s">
        <v>74</v>
      </c>
      <c r="B68" t="s">
        <v>108</v>
      </c>
      <c r="C68" t="s">
        <v>122</v>
      </c>
      <c r="D68" t="s">
        <v>127</v>
      </c>
      <c r="E68">
        <v>44</v>
      </c>
      <c r="F68">
        <v>3653</v>
      </c>
      <c r="G68">
        <v>160732</v>
      </c>
      <c r="H68" s="2">
        <v>45901</v>
      </c>
    </row>
    <row r="69" spans="1:8" x14ac:dyDescent="0.35">
      <c r="A69" t="s">
        <v>75</v>
      </c>
      <c r="B69" t="s">
        <v>116</v>
      </c>
      <c r="C69" t="s">
        <v>122</v>
      </c>
      <c r="D69" t="s">
        <v>130</v>
      </c>
      <c r="E69">
        <v>83</v>
      </c>
      <c r="F69">
        <v>4708</v>
      </c>
      <c r="G69">
        <v>390764</v>
      </c>
      <c r="H69" s="2">
        <v>45902</v>
      </c>
    </row>
    <row r="70" spans="1:8" x14ac:dyDescent="0.35">
      <c r="A70" t="s">
        <v>76</v>
      </c>
      <c r="B70" t="s">
        <v>108</v>
      </c>
      <c r="C70" t="s">
        <v>122</v>
      </c>
      <c r="D70" t="s">
        <v>127</v>
      </c>
      <c r="E70">
        <v>103</v>
      </c>
      <c r="F70">
        <v>3432</v>
      </c>
      <c r="G70">
        <v>353496</v>
      </c>
      <c r="H70" s="2">
        <v>45903</v>
      </c>
    </row>
    <row r="71" spans="1:8" x14ac:dyDescent="0.35">
      <c r="A71" t="s">
        <v>77</v>
      </c>
      <c r="B71" t="s">
        <v>112</v>
      </c>
      <c r="C71" t="s">
        <v>124</v>
      </c>
      <c r="D71" t="s">
        <v>132</v>
      </c>
      <c r="E71">
        <v>123</v>
      </c>
      <c r="F71">
        <v>920</v>
      </c>
      <c r="G71">
        <v>113160</v>
      </c>
      <c r="H71" s="2">
        <v>45904</v>
      </c>
    </row>
    <row r="72" spans="1:8" x14ac:dyDescent="0.35">
      <c r="A72" t="s">
        <v>78</v>
      </c>
      <c r="B72" t="s">
        <v>113</v>
      </c>
      <c r="C72" t="s">
        <v>123</v>
      </c>
      <c r="D72" t="s">
        <v>126</v>
      </c>
      <c r="E72">
        <v>25</v>
      </c>
      <c r="F72">
        <v>667</v>
      </c>
      <c r="G72">
        <v>16675</v>
      </c>
      <c r="H72" s="2">
        <v>45905</v>
      </c>
    </row>
    <row r="73" spans="1:8" x14ac:dyDescent="0.35">
      <c r="A73" t="s">
        <v>79</v>
      </c>
      <c r="B73" t="s">
        <v>113</v>
      </c>
      <c r="C73" t="s">
        <v>123</v>
      </c>
      <c r="D73" t="s">
        <v>126</v>
      </c>
      <c r="E73">
        <v>13</v>
      </c>
      <c r="F73">
        <v>3320</v>
      </c>
      <c r="G73">
        <v>43160</v>
      </c>
      <c r="H73" s="2">
        <v>45906</v>
      </c>
    </row>
    <row r="74" spans="1:8" x14ac:dyDescent="0.35">
      <c r="A74" t="s">
        <v>80</v>
      </c>
      <c r="B74" t="s">
        <v>109</v>
      </c>
      <c r="C74" t="s">
        <v>123</v>
      </c>
      <c r="D74" t="s">
        <v>126</v>
      </c>
      <c r="E74">
        <v>56</v>
      </c>
      <c r="F74">
        <v>2866</v>
      </c>
      <c r="G74">
        <v>160496</v>
      </c>
      <c r="H74" s="2">
        <v>45907</v>
      </c>
    </row>
    <row r="75" spans="1:8" x14ac:dyDescent="0.35">
      <c r="A75" t="s">
        <v>81</v>
      </c>
      <c r="B75" t="s">
        <v>116</v>
      </c>
      <c r="C75" t="s">
        <v>122</v>
      </c>
      <c r="D75" t="s">
        <v>133</v>
      </c>
      <c r="E75">
        <v>58</v>
      </c>
      <c r="F75">
        <v>4954</v>
      </c>
      <c r="G75">
        <v>287332</v>
      </c>
      <c r="H75" s="2">
        <v>45908</v>
      </c>
    </row>
    <row r="76" spans="1:8" x14ac:dyDescent="0.35">
      <c r="A76" t="s">
        <v>82</v>
      </c>
      <c r="B76" t="s">
        <v>109</v>
      </c>
      <c r="C76" t="s">
        <v>123</v>
      </c>
      <c r="D76" t="s">
        <v>126</v>
      </c>
      <c r="E76">
        <v>75</v>
      </c>
      <c r="F76">
        <v>1169</v>
      </c>
      <c r="G76">
        <v>87675</v>
      </c>
      <c r="H76" s="2">
        <v>45909</v>
      </c>
    </row>
    <row r="77" spans="1:8" x14ac:dyDescent="0.35">
      <c r="A77" t="s">
        <v>83</v>
      </c>
      <c r="B77" t="s">
        <v>113</v>
      </c>
      <c r="C77" t="s">
        <v>123</v>
      </c>
      <c r="D77" t="s">
        <v>126</v>
      </c>
      <c r="E77">
        <v>38</v>
      </c>
      <c r="F77">
        <v>4680</v>
      </c>
      <c r="G77">
        <v>177840</v>
      </c>
      <c r="H77" s="2">
        <v>45910</v>
      </c>
    </row>
    <row r="78" spans="1:8" x14ac:dyDescent="0.35">
      <c r="A78" t="s">
        <v>84</v>
      </c>
      <c r="B78" t="s">
        <v>108</v>
      </c>
      <c r="C78" t="s">
        <v>122</v>
      </c>
      <c r="D78" t="s">
        <v>127</v>
      </c>
      <c r="E78">
        <v>47</v>
      </c>
      <c r="F78">
        <v>805</v>
      </c>
      <c r="G78">
        <v>37835</v>
      </c>
      <c r="H78" s="2">
        <v>45911</v>
      </c>
    </row>
    <row r="79" spans="1:8" x14ac:dyDescent="0.35">
      <c r="A79" t="s">
        <v>85</v>
      </c>
      <c r="B79" t="s">
        <v>115</v>
      </c>
      <c r="C79" t="s">
        <v>124</v>
      </c>
      <c r="D79" t="s">
        <v>132</v>
      </c>
      <c r="E79">
        <v>62</v>
      </c>
      <c r="F79">
        <v>2635</v>
      </c>
      <c r="G79">
        <v>163370</v>
      </c>
      <c r="H79" s="2">
        <v>45912</v>
      </c>
    </row>
    <row r="80" spans="1:8" x14ac:dyDescent="0.35">
      <c r="A80" t="s">
        <v>86</v>
      </c>
      <c r="B80" t="s">
        <v>121</v>
      </c>
      <c r="C80" t="s">
        <v>124</v>
      </c>
      <c r="D80" t="s">
        <v>129</v>
      </c>
      <c r="E80">
        <v>17</v>
      </c>
      <c r="F80">
        <v>974</v>
      </c>
      <c r="G80">
        <v>16558</v>
      </c>
      <c r="H80" s="2">
        <v>45913</v>
      </c>
    </row>
    <row r="81" spans="1:8" x14ac:dyDescent="0.35">
      <c r="A81" t="s">
        <v>87</v>
      </c>
      <c r="B81" t="s">
        <v>118</v>
      </c>
      <c r="C81" t="s">
        <v>123</v>
      </c>
      <c r="D81" t="s">
        <v>126</v>
      </c>
      <c r="E81">
        <v>56</v>
      </c>
      <c r="F81">
        <v>864</v>
      </c>
      <c r="G81">
        <v>48384</v>
      </c>
      <c r="H81" s="2">
        <v>45914</v>
      </c>
    </row>
    <row r="82" spans="1:8" x14ac:dyDescent="0.35">
      <c r="A82" t="s">
        <v>88</v>
      </c>
      <c r="B82" t="s">
        <v>119</v>
      </c>
      <c r="C82" t="s">
        <v>123</v>
      </c>
      <c r="D82" t="s">
        <v>126</v>
      </c>
      <c r="E82">
        <v>118</v>
      </c>
      <c r="F82">
        <v>3685</v>
      </c>
      <c r="G82">
        <v>434830</v>
      </c>
      <c r="H82" s="2">
        <v>45915</v>
      </c>
    </row>
    <row r="83" spans="1:8" x14ac:dyDescent="0.35">
      <c r="A83" t="s">
        <v>89</v>
      </c>
      <c r="B83" t="s">
        <v>121</v>
      </c>
      <c r="C83" t="s">
        <v>124</v>
      </c>
      <c r="D83" t="s">
        <v>132</v>
      </c>
      <c r="E83">
        <v>113</v>
      </c>
      <c r="F83">
        <v>4013</v>
      </c>
      <c r="G83">
        <v>453469</v>
      </c>
      <c r="H83" s="2">
        <v>45916</v>
      </c>
    </row>
    <row r="84" spans="1:8" x14ac:dyDescent="0.35">
      <c r="A84" t="s">
        <v>90</v>
      </c>
      <c r="B84" t="s">
        <v>111</v>
      </c>
      <c r="C84" t="s">
        <v>122</v>
      </c>
      <c r="D84" t="s">
        <v>131</v>
      </c>
      <c r="E84">
        <v>86</v>
      </c>
      <c r="F84">
        <v>4961</v>
      </c>
      <c r="G84">
        <v>426646</v>
      </c>
      <c r="H84" s="2">
        <v>45917</v>
      </c>
    </row>
    <row r="85" spans="1:8" x14ac:dyDescent="0.35">
      <c r="A85" t="s">
        <v>91</v>
      </c>
      <c r="B85" t="s">
        <v>113</v>
      </c>
      <c r="C85" t="s">
        <v>123</v>
      </c>
      <c r="D85" t="s">
        <v>126</v>
      </c>
      <c r="E85">
        <v>42</v>
      </c>
      <c r="F85">
        <v>4276</v>
      </c>
      <c r="G85">
        <v>179592</v>
      </c>
      <c r="H85" s="2">
        <v>45918</v>
      </c>
    </row>
    <row r="86" spans="1:8" x14ac:dyDescent="0.35">
      <c r="A86" t="s">
        <v>92</v>
      </c>
      <c r="B86" t="s">
        <v>115</v>
      </c>
      <c r="C86" t="s">
        <v>124</v>
      </c>
      <c r="D86" t="s">
        <v>128</v>
      </c>
      <c r="E86">
        <v>125</v>
      </c>
      <c r="F86">
        <v>1532</v>
      </c>
      <c r="G86">
        <v>191500</v>
      </c>
      <c r="H86" s="2">
        <v>45919</v>
      </c>
    </row>
    <row r="87" spans="1:8" x14ac:dyDescent="0.35">
      <c r="A87" t="s">
        <v>93</v>
      </c>
      <c r="B87" t="s">
        <v>118</v>
      </c>
      <c r="C87" t="s">
        <v>123</v>
      </c>
      <c r="D87" t="s">
        <v>126</v>
      </c>
      <c r="E87">
        <v>142</v>
      </c>
      <c r="F87">
        <v>1825</v>
      </c>
      <c r="G87">
        <v>259150</v>
      </c>
      <c r="H87" s="2">
        <v>45920</v>
      </c>
    </row>
    <row r="88" spans="1:8" x14ac:dyDescent="0.35">
      <c r="A88" t="s">
        <v>94</v>
      </c>
      <c r="B88" t="s">
        <v>108</v>
      </c>
      <c r="C88" t="s">
        <v>122</v>
      </c>
      <c r="D88" t="s">
        <v>133</v>
      </c>
      <c r="E88">
        <v>148</v>
      </c>
      <c r="F88">
        <v>3061</v>
      </c>
      <c r="G88">
        <v>453028</v>
      </c>
      <c r="H88" s="2">
        <v>45921</v>
      </c>
    </row>
    <row r="89" spans="1:8" x14ac:dyDescent="0.35">
      <c r="A89" t="s">
        <v>95</v>
      </c>
      <c r="B89" t="s">
        <v>116</v>
      </c>
      <c r="C89" t="s">
        <v>122</v>
      </c>
      <c r="D89" t="s">
        <v>127</v>
      </c>
      <c r="E89">
        <v>46</v>
      </c>
      <c r="F89">
        <v>603</v>
      </c>
      <c r="G89">
        <v>27738</v>
      </c>
      <c r="H89" s="2">
        <v>45922</v>
      </c>
    </row>
    <row r="90" spans="1:8" x14ac:dyDescent="0.35">
      <c r="A90" t="s">
        <v>96</v>
      </c>
      <c r="B90" t="s">
        <v>108</v>
      </c>
      <c r="C90" t="s">
        <v>122</v>
      </c>
      <c r="D90" t="s">
        <v>133</v>
      </c>
      <c r="E90">
        <v>26</v>
      </c>
      <c r="F90">
        <v>3544</v>
      </c>
      <c r="G90">
        <v>92144</v>
      </c>
      <c r="H90" s="2">
        <v>45923</v>
      </c>
    </row>
    <row r="91" spans="1:8" x14ac:dyDescent="0.35">
      <c r="A91" t="s">
        <v>97</v>
      </c>
      <c r="B91" t="s">
        <v>121</v>
      </c>
      <c r="C91" t="s">
        <v>124</v>
      </c>
      <c r="D91" t="s">
        <v>128</v>
      </c>
      <c r="E91">
        <v>50</v>
      </c>
      <c r="F91">
        <v>3647</v>
      </c>
      <c r="G91">
        <v>182350</v>
      </c>
      <c r="H91" s="2">
        <v>45924</v>
      </c>
    </row>
    <row r="92" spans="1:8" x14ac:dyDescent="0.35">
      <c r="A92" t="s">
        <v>98</v>
      </c>
      <c r="B92" t="s">
        <v>109</v>
      </c>
      <c r="C92" t="s">
        <v>123</v>
      </c>
      <c r="D92" t="s">
        <v>126</v>
      </c>
      <c r="E92">
        <v>149</v>
      </c>
      <c r="F92">
        <v>2595</v>
      </c>
      <c r="G92">
        <v>386655</v>
      </c>
      <c r="H92" s="2">
        <v>45925</v>
      </c>
    </row>
    <row r="93" spans="1:8" x14ac:dyDescent="0.35">
      <c r="A93" t="s">
        <v>99</v>
      </c>
      <c r="B93" t="s">
        <v>115</v>
      </c>
      <c r="C93" t="s">
        <v>124</v>
      </c>
      <c r="D93" t="s">
        <v>129</v>
      </c>
      <c r="E93">
        <v>111</v>
      </c>
      <c r="F93">
        <v>1551</v>
      </c>
      <c r="G93">
        <v>172161</v>
      </c>
      <c r="H93" s="2">
        <v>45926</v>
      </c>
    </row>
    <row r="94" spans="1:8" x14ac:dyDescent="0.35">
      <c r="A94" t="s">
        <v>100</v>
      </c>
      <c r="B94" t="s">
        <v>111</v>
      </c>
      <c r="C94" t="s">
        <v>122</v>
      </c>
      <c r="D94" t="s">
        <v>133</v>
      </c>
      <c r="E94">
        <v>124</v>
      </c>
      <c r="F94">
        <v>2655</v>
      </c>
      <c r="G94">
        <v>329220</v>
      </c>
      <c r="H94" s="2">
        <v>45927</v>
      </c>
    </row>
    <row r="95" spans="1:8" x14ac:dyDescent="0.35">
      <c r="A95" t="s">
        <v>101</v>
      </c>
      <c r="B95" t="s">
        <v>111</v>
      </c>
      <c r="C95" t="s">
        <v>122</v>
      </c>
      <c r="D95" t="s">
        <v>133</v>
      </c>
      <c r="E95">
        <v>121</v>
      </c>
      <c r="F95">
        <v>2671</v>
      </c>
      <c r="G95">
        <v>323191</v>
      </c>
      <c r="H95" s="2">
        <v>45928</v>
      </c>
    </row>
    <row r="96" spans="1:8" x14ac:dyDescent="0.35">
      <c r="A96" t="s">
        <v>102</v>
      </c>
      <c r="B96" t="s">
        <v>111</v>
      </c>
      <c r="C96" t="s">
        <v>122</v>
      </c>
      <c r="D96" t="s">
        <v>135</v>
      </c>
      <c r="E96">
        <v>143</v>
      </c>
      <c r="F96">
        <v>4169</v>
      </c>
      <c r="G96">
        <v>596167</v>
      </c>
      <c r="H96" s="2">
        <v>45929</v>
      </c>
    </row>
    <row r="97" spans="1:8" x14ac:dyDescent="0.35">
      <c r="A97" t="s">
        <v>103</v>
      </c>
      <c r="B97" t="s">
        <v>116</v>
      </c>
      <c r="C97" t="s">
        <v>122</v>
      </c>
      <c r="D97" t="s">
        <v>133</v>
      </c>
      <c r="E97">
        <v>109</v>
      </c>
      <c r="F97">
        <v>3486</v>
      </c>
      <c r="G97">
        <v>379974</v>
      </c>
      <c r="H97" s="2">
        <v>45930</v>
      </c>
    </row>
    <row r="98" spans="1:8" x14ac:dyDescent="0.35">
      <c r="A98" t="s">
        <v>104</v>
      </c>
      <c r="B98" t="s">
        <v>112</v>
      </c>
      <c r="C98" t="s">
        <v>124</v>
      </c>
      <c r="D98" t="s">
        <v>134</v>
      </c>
      <c r="E98">
        <v>12</v>
      </c>
      <c r="F98">
        <v>2606</v>
      </c>
      <c r="G98">
        <v>31272</v>
      </c>
      <c r="H98" s="2">
        <v>45931</v>
      </c>
    </row>
    <row r="99" spans="1:8" x14ac:dyDescent="0.35">
      <c r="A99" t="s">
        <v>105</v>
      </c>
      <c r="B99" t="s">
        <v>120</v>
      </c>
      <c r="C99" t="s">
        <v>124</v>
      </c>
      <c r="D99" t="s">
        <v>129</v>
      </c>
      <c r="E99">
        <v>33</v>
      </c>
      <c r="F99">
        <v>818</v>
      </c>
      <c r="G99">
        <v>26994</v>
      </c>
      <c r="H99" s="2">
        <v>45932</v>
      </c>
    </row>
    <row r="100" spans="1:8" x14ac:dyDescent="0.35">
      <c r="A100" t="s">
        <v>106</v>
      </c>
      <c r="B100" t="s">
        <v>114</v>
      </c>
      <c r="C100" t="s">
        <v>123</v>
      </c>
      <c r="D100" t="s">
        <v>126</v>
      </c>
      <c r="E100">
        <v>128</v>
      </c>
      <c r="F100">
        <v>4729</v>
      </c>
      <c r="G100">
        <v>605312</v>
      </c>
      <c r="H100" s="2">
        <v>45933</v>
      </c>
    </row>
    <row r="101" spans="1:8" x14ac:dyDescent="0.35">
      <c r="A101" t="s">
        <v>107</v>
      </c>
      <c r="B101" t="s">
        <v>112</v>
      </c>
      <c r="C101" t="s">
        <v>124</v>
      </c>
      <c r="D101" t="s">
        <v>134</v>
      </c>
      <c r="E101">
        <v>73</v>
      </c>
      <c r="F101">
        <v>3690</v>
      </c>
      <c r="G101">
        <v>269370</v>
      </c>
      <c r="H101" s="2">
        <v>45934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13564-3525-4211-BF34-392AEE887E3A}">
  <dimension ref="A3:B5"/>
  <sheetViews>
    <sheetView zoomScale="85" zoomScaleNormal="85" workbookViewId="0">
      <selection activeCell="B5" sqref="B5"/>
    </sheetView>
  </sheetViews>
  <sheetFormatPr defaultRowHeight="14.5" x14ac:dyDescent="0.35"/>
  <cols>
    <col min="1" max="1" width="13.1796875" bestFit="1" customWidth="1"/>
    <col min="2" max="2" width="20.453125" bestFit="1" customWidth="1"/>
  </cols>
  <sheetData>
    <row r="3" spans="1:2" x14ac:dyDescent="0.35">
      <c r="A3" s="3" t="s">
        <v>136</v>
      </c>
      <c r="B3" t="s">
        <v>138</v>
      </c>
    </row>
    <row r="4" spans="1:2" x14ac:dyDescent="0.35">
      <c r="A4" s="4" t="s">
        <v>124</v>
      </c>
      <c r="B4" s="5">
        <v>437</v>
      </c>
    </row>
    <row r="5" spans="1:2" x14ac:dyDescent="0.35">
      <c r="A5" s="4" t="s">
        <v>137</v>
      </c>
      <c r="B5" s="5">
        <v>437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94D8F-10B7-4125-9480-3BFBD309BD1A}">
  <dimension ref="A3:B5"/>
  <sheetViews>
    <sheetView workbookViewId="0">
      <selection activeCell="L8" sqref="L8"/>
    </sheetView>
  </sheetViews>
  <sheetFormatPr defaultRowHeight="14.5" x14ac:dyDescent="0.35"/>
  <cols>
    <col min="1" max="1" width="12.36328125" bestFit="1" customWidth="1"/>
    <col min="2" max="2" width="17.26953125" bestFit="1" customWidth="1"/>
  </cols>
  <sheetData>
    <row r="3" spans="1:2" x14ac:dyDescent="0.35">
      <c r="A3" s="3" t="s">
        <v>136</v>
      </c>
      <c r="B3" t="s">
        <v>139</v>
      </c>
    </row>
    <row r="4" spans="1:2" x14ac:dyDescent="0.35">
      <c r="A4" s="4" t="s">
        <v>115</v>
      </c>
      <c r="B4" s="5">
        <v>1489678</v>
      </c>
    </row>
    <row r="5" spans="1:2" x14ac:dyDescent="0.35">
      <c r="A5" s="4" t="s">
        <v>137</v>
      </c>
      <c r="B5" s="5">
        <v>1489678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BA6E8-7FF9-4852-8FC6-80F65456C28A}">
  <dimension ref="A3:B6"/>
  <sheetViews>
    <sheetView workbookViewId="0">
      <selection activeCell="L6" sqref="L6"/>
    </sheetView>
  </sheetViews>
  <sheetFormatPr defaultRowHeight="14.5" x14ac:dyDescent="0.35"/>
  <cols>
    <col min="1" max="1" width="12.36328125" bestFit="1" customWidth="1"/>
    <col min="2" max="2" width="20.1796875" bestFit="1" customWidth="1"/>
  </cols>
  <sheetData>
    <row r="3" spans="1:2" x14ac:dyDescent="0.35">
      <c r="A3" s="3" t="s">
        <v>136</v>
      </c>
      <c r="B3" t="s">
        <v>138</v>
      </c>
    </row>
    <row r="4" spans="1:2" x14ac:dyDescent="0.35">
      <c r="A4" s="4" t="s">
        <v>140</v>
      </c>
      <c r="B4" s="5">
        <v>375</v>
      </c>
    </row>
    <row r="5" spans="1:2" x14ac:dyDescent="0.35">
      <c r="A5" s="4" t="s">
        <v>141</v>
      </c>
      <c r="B5" s="5">
        <v>62</v>
      </c>
    </row>
    <row r="6" spans="1:2" x14ac:dyDescent="0.35">
      <c r="A6" s="4" t="s">
        <v>137</v>
      </c>
      <c r="B6" s="5">
        <v>437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C458-068D-4C65-9878-BA6D7F5AEC81}">
  <dimension ref="A3:B5"/>
  <sheetViews>
    <sheetView workbookViewId="0">
      <selection activeCell="B8" sqref="B8"/>
    </sheetView>
  </sheetViews>
  <sheetFormatPr defaultRowHeight="14.5" x14ac:dyDescent="0.35"/>
  <cols>
    <col min="1" max="1" width="12.36328125" bestFit="1" customWidth="1"/>
    <col min="2" max="2" width="15.81640625" bestFit="1" customWidth="1"/>
  </cols>
  <sheetData>
    <row r="3" spans="1:2" x14ac:dyDescent="0.35">
      <c r="A3" s="3" t="s">
        <v>136</v>
      </c>
      <c r="B3" t="s">
        <v>142</v>
      </c>
    </row>
    <row r="4" spans="1:2" x14ac:dyDescent="0.35">
      <c r="A4" s="4" t="s">
        <v>132</v>
      </c>
      <c r="B4" s="5">
        <v>13578</v>
      </c>
    </row>
    <row r="5" spans="1:2" x14ac:dyDescent="0.35">
      <c r="A5" s="4" t="s">
        <v>137</v>
      </c>
      <c r="B5" s="5">
        <v>13578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DDC18-F51F-4B00-A177-D0768C85A99D}">
  <dimension ref="A3:B5"/>
  <sheetViews>
    <sheetView workbookViewId="0">
      <selection activeCell="L11" sqref="L11"/>
    </sheetView>
  </sheetViews>
  <sheetFormatPr defaultRowHeight="14.5" x14ac:dyDescent="0.35"/>
  <cols>
    <col min="1" max="1" width="12.36328125" bestFit="1" customWidth="1"/>
    <col min="2" max="2" width="17.26953125" bestFit="1" customWidth="1"/>
  </cols>
  <sheetData>
    <row r="3" spans="1:2" x14ac:dyDescent="0.35">
      <c r="A3" s="3" t="s">
        <v>136</v>
      </c>
      <c r="B3" t="s">
        <v>139</v>
      </c>
    </row>
    <row r="4" spans="1:2" x14ac:dyDescent="0.35">
      <c r="A4" s="4" t="s">
        <v>124</v>
      </c>
      <c r="B4" s="5">
        <v>1489678</v>
      </c>
    </row>
    <row r="5" spans="1:2" x14ac:dyDescent="0.35">
      <c r="A5" s="4" t="s">
        <v>137</v>
      </c>
      <c r="B5" s="5">
        <v>1489678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958C-EAB4-4DFD-BF28-4438DD5CB21A}">
  <dimension ref="A1:Z28"/>
  <sheetViews>
    <sheetView showGridLines="0" tabSelected="1" zoomScale="55" zoomScaleNormal="55" workbookViewId="0">
      <selection activeCell="E40" sqref="E40"/>
    </sheetView>
  </sheetViews>
  <sheetFormatPr defaultRowHeight="14.5" x14ac:dyDescent="0.35"/>
  <cols>
    <col min="3" max="3" width="37" customWidth="1"/>
    <col min="11" max="11" width="0.6328125" customWidth="1"/>
    <col min="19" max="19" width="0.90625" customWidth="1"/>
  </cols>
  <sheetData>
    <row r="1" spans="1:26" ht="58.5" customHeight="1" x14ac:dyDescent="0.85">
      <c r="A1" s="6"/>
      <c r="B1" s="6"/>
      <c r="C1" s="6"/>
      <c r="D1" s="6"/>
      <c r="E1" s="6"/>
      <c r="F1" s="6"/>
      <c r="G1" s="8" t="s">
        <v>143</v>
      </c>
      <c r="H1" s="9"/>
      <c r="I1" s="9"/>
      <c r="J1" s="9"/>
      <c r="K1" s="9"/>
      <c r="L1" s="9"/>
      <c r="M1" s="9"/>
      <c r="N1" s="9"/>
      <c r="O1" s="6"/>
      <c r="P1" s="6"/>
      <c r="Q1" s="6"/>
      <c r="R1" s="6"/>
      <c r="S1" s="6"/>
      <c r="T1" s="6"/>
      <c r="U1" s="6"/>
      <c r="V1" s="6"/>
      <c r="W1" s="6"/>
      <c r="X1" s="6"/>
      <c r="Y1" s="6"/>
      <c r="Z1" s="6"/>
    </row>
    <row r="2" spans="1:26" x14ac:dyDescent="0.35">
      <c r="A2" s="7"/>
      <c r="B2" s="7"/>
      <c r="C2" s="7"/>
      <c r="D2" s="7"/>
      <c r="E2" s="7"/>
      <c r="F2" s="7"/>
      <c r="G2" s="7"/>
      <c r="H2" s="7"/>
      <c r="I2" s="7"/>
      <c r="J2" s="7"/>
      <c r="K2" s="7"/>
      <c r="L2" s="7"/>
      <c r="M2" s="7"/>
      <c r="N2" s="7"/>
      <c r="O2" s="7"/>
      <c r="P2" s="7"/>
      <c r="Q2" s="7"/>
      <c r="R2" s="7"/>
      <c r="S2" s="7"/>
      <c r="T2" s="7"/>
      <c r="U2" s="7"/>
      <c r="V2" s="7"/>
      <c r="W2" s="7"/>
      <c r="X2" s="7"/>
      <c r="Y2" s="7"/>
      <c r="Z2" s="7"/>
    </row>
    <row r="3" spans="1:26" x14ac:dyDescent="0.35">
      <c r="A3" s="7"/>
      <c r="B3" s="7"/>
      <c r="C3" s="7"/>
      <c r="D3" s="7"/>
      <c r="E3" s="7"/>
      <c r="F3" s="7"/>
      <c r="G3" s="7"/>
      <c r="H3" s="7"/>
      <c r="I3" s="7"/>
      <c r="J3" s="7"/>
      <c r="K3" s="7"/>
      <c r="L3" s="7"/>
      <c r="M3" s="7"/>
      <c r="N3" s="7"/>
      <c r="O3" s="7"/>
      <c r="P3" s="7"/>
      <c r="Q3" s="7"/>
      <c r="R3" s="7"/>
      <c r="S3" s="7"/>
      <c r="T3" s="7"/>
      <c r="U3" s="7"/>
      <c r="V3" s="7"/>
      <c r="W3" s="7"/>
      <c r="X3" s="7"/>
      <c r="Y3" s="7"/>
      <c r="Z3" s="7"/>
    </row>
    <row r="4" spans="1:26" x14ac:dyDescent="0.35">
      <c r="A4" s="7"/>
      <c r="B4" s="7"/>
      <c r="C4" s="7"/>
      <c r="D4" s="7"/>
      <c r="E4" s="7"/>
      <c r="F4" s="7"/>
      <c r="G4" s="7"/>
      <c r="H4" s="7"/>
      <c r="I4" s="7"/>
      <c r="J4" s="7"/>
      <c r="K4" s="7"/>
      <c r="L4" s="7"/>
      <c r="M4" s="7"/>
      <c r="N4" s="7"/>
      <c r="O4" s="7"/>
      <c r="P4" s="7"/>
      <c r="Q4" s="7"/>
      <c r="R4" s="7"/>
      <c r="S4" s="7"/>
      <c r="T4" s="7"/>
      <c r="U4" s="7"/>
      <c r="V4" s="7"/>
      <c r="W4" s="7"/>
      <c r="X4" s="7"/>
      <c r="Y4" s="7"/>
      <c r="Z4" s="7"/>
    </row>
    <row r="5" spans="1:26" x14ac:dyDescent="0.35">
      <c r="A5" s="7"/>
      <c r="B5" s="7"/>
      <c r="C5" s="7"/>
      <c r="D5" s="7"/>
      <c r="E5" s="7"/>
      <c r="F5" s="7"/>
      <c r="G5" s="7"/>
      <c r="H5" s="7"/>
      <c r="I5" s="7"/>
      <c r="J5" s="7"/>
      <c r="K5" s="7"/>
      <c r="L5" s="7"/>
      <c r="M5" s="7"/>
      <c r="N5" s="7"/>
      <c r="O5" s="7"/>
      <c r="P5" s="7"/>
      <c r="Q5" s="7"/>
      <c r="R5" s="7"/>
      <c r="S5" s="7"/>
      <c r="T5" s="7"/>
      <c r="U5" s="7"/>
      <c r="V5" s="7"/>
      <c r="W5" s="7"/>
      <c r="X5" s="7"/>
      <c r="Y5" s="7"/>
      <c r="Z5" s="7"/>
    </row>
    <row r="6" spans="1:26" x14ac:dyDescent="0.35">
      <c r="A6" s="7"/>
      <c r="B6" s="7"/>
      <c r="C6" s="7"/>
      <c r="D6" s="7"/>
      <c r="E6" s="7"/>
      <c r="F6" s="7"/>
      <c r="G6" s="7"/>
      <c r="H6" s="7"/>
      <c r="I6" s="7"/>
      <c r="J6" s="7"/>
      <c r="K6" s="7"/>
      <c r="L6" s="7"/>
      <c r="M6" s="7"/>
      <c r="N6" s="7"/>
      <c r="O6" s="7"/>
      <c r="P6" s="7"/>
      <c r="Q6" s="7"/>
      <c r="R6" s="7"/>
      <c r="S6" s="7"/>
      <c r="T6" s="7"/>
      <c r="U6" s="7"/>
      <c r="V6" s="7"/>
      <c r="W6" s="7"/>
      <c r="X6" s="7"/>
      <c r="Y6" s="7"/>
      <c r="Z6" s="7"/>
    </row>
    <row r="7" spans="1:26" x14ac:dyDescent="0.35">
      <c r="A7" s="7"/>
      <c r="B7" s="7"/>
      <c r="C7" s="7"/>
      <c r="D7" s="7"/>
      <c r="E7" s="7"/>
      <c r="F7" s="7"/>
      <c r="G7" s="7"/>
      <c r="H7" s="7"/>
      <c r="I7" s="7"/>
      <c r="J7" s="7"/>
      <c r="K7" s="7"/>
      <c r="L7" s="7"/>
      <c r="M7" s="7"/>
      <c r="N7" s="7"/>
      <c r="O7" s="7"/>
      <c r="P7" s="7"/>
      <c r="Q7" s="7"/>
      <c r="R7" s="7"/>
      <c r="S7" s="7"/>
      <c r="T7" s="7"/>
      <c r="U7" s="7"/>
      <c r="V7" s="7"/>
      <c r="W7" s="7"/>
      <c r="X7" s="7"/>
      <c r="Y7" s="7"/>
      <c r="Z7" s="7"/>
    </row>
    <row r="8" spans="1:26" x14ac:dyDescent="0.35">
      <c r="A8" s="7"/>
      <c r="B8" s="7"/>
      <c r="C8" s="7"/>
      <c r="D8" s="7"/>
      <c r="E8" s="7"/>
      <c r="F8" s="7"/>
      <c r="G8" s="7"/>
      <c r="H8" s="7"/>
      <c r="I8" s="7"/>
      <c r="J8" s="7"/>
      <c r="K8" s="7"/>
      <c r="L8" s="7"/>
      <c r="M8" s="7"/>
      <c r="N8" s="7"/>
      <c r="O8" s="7"/>
      <c r="P8" s="7"/>
      <c r="Q8" s="7"/>
      <c r="R8" s="7"/>
      <c r="S8" s="7"/>
      <c r="T8" s="7"/>
      <c r="U8" s="7"/>
      <c r="V8" s="7"/>
      <c r="W8" s="7"/>
      <c r="X8" s="7"/>
      <c r="Y8" s="7"/>
      <c r="Z8" s="7"/>
    </row>
    <row r="9" spans="1:26" x14ac:dyDescent="0.35">
      <c r="A9" s="7"/>
      <c r="B9" s="7"/>
      <c r="C9" s="7"/>
      <c r="D9" s="7"/>
      <c r="E9" s="7"/>
      <c r="F9" s="7"/>
      <c r="G9" s="7"/>
      <c r="H9" s="7"/>
      <c r="I9" s="7"/>
      <c r="J9" s="7"/>
      <c r="K9" s="7"/>
      <c r="L9" s="7"/>
      <c r="M9" s="7"/>
      <c r="N9" s="7"/>
      <c r="O9" s="7"/>
      <c r="P9" s="7"/>
      <c r="Q9" s="7"/>
      <c r="R9" s="7"/>
      <c r="S9" s="7"/>
      <c r="T9" s="7"/>
      <c r="U9" s="7"/>
      <c r="V9" s="7"/>
      <c r="W9" s="7"/>
      <c r="X9" s="7"/>
      <c r="Y9" s="7"/>
      <c r="Z9" s="7"/>
    </row>
    <row r="10" spans="1:26" x14ac:dyDescent="0.35">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x14ac:dyDescent="0.35">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x14ac:dyDescent="0.35">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x14ac:dyDescent="0.35">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x14ac:dyDescent="0.35">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x14ac:dyDescent="0.35">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5" customHeight="1" x14ac:dyDescent="0.35">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x14ac:dyDescent="0.35">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x14ac:dyDescent="0.35">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x14ac:dyDescent="0.35">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x14ac:dyDescent="0.35">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x14ac:dyDescent="0.35">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x14ac:dyDescent="0.35">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x14ac:dyDescent="0.35">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x14ac:dyDescent="0.35">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x14ac:dyDescent="0.35">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x14ac:dyDescent="0.35">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x14ac:dyDescent="0.35">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x14ac:dyDescent="0.35">
      <c r="A28" s="7"/>
      <c r="B28" s="7"/>
      <c r="C28" s="7"/>
      <c r="D28" s="7"/>
      <c r="E28" s="7"/>
      <c r="F28" s="7"/>
      <c r="G28" s="7"/>
      <c r="H28" s="7"/>
      <c r="I28" s="7"/>
      <c r="J28" s="7"/>
      <c r="K28" s="7"/>
      <c r="L28" s="7"/>
      <c r="M28" s="7"/>
      <c r="N28" s="7"/>
      <c r="O28" s="7"/>
      <c r="P28" s="7"/>
      <c r="Q28" s="7"/>
      <c r="R28" s="7"/>
      <c r="S28" s="7"/>
      <c r="T28" s="7"/>
      <c r="U28" s="7"/>
      <c r="V28" s="7"/>
      <c r="W28" s="7"/>
      <c r="X28" s="7"/>
      <c r="Y28" s="7"/>
      <c r="Z28"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Sheet2</vt:lpstr>
      <vt:lpstr>Sheet3</vt:lpstr>
      <vt:lpstr>Sheet4</vt:lpstr>
      <vt:lpstr>Sheet5</vt:lpstr>
      <vt:lpstr>Sheet6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 SHELAR</dc:creator>
  <cp:lastModifiedBy>SURAJ</cp:lastModifiedBy>
  <dcterms:created xsi:type="dcterms:W3CDTF">2025-09-03T10:34:15Z</dcterms:created>
  <dcterms:modified xsi:type="dcterms:W3CDTF">2025-11-25T06:40:25Z</dcterms:modified>
</cp:coreProperties>
</file>